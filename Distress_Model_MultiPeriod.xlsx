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cutive Dashboard" sheetId="1" r:id="rId5"/>
    <sheet state="visible" name="Guide" sheetId="2" r:id="rId6"/>
    <sheet state="visible" name="Inputs" sheetId="3" r:id="rId7"/>
    <sheet state="visible" name="Indicators" sheetId="4" r:id="rId8"/>
    <sheet state="visible" name="Scorecard" sheetId="5" r:id="rId9"/>
    <sheet state="visible" name="Trend" sheetId="6" r:id="rId10"/>
    <sheet state="visible" name="BENCHMARK_ANALYSIS" sheetId="7" r:id="rId11"/>
  </sheets>
  <definedNames/>
  <calcPr/>
</workbook>
</file>

<file path=xl/sharedStrings.xml><?xml version="1.0" encoding="utf-8"?>
<sst xmlns="http://schemas.openxmlformats.org/spreadsheetml/2006/main" count="460" uniqueCount="208">
  <si>
    <t>Computed Indicators</t>
  </si>
  <si>
    <t>Firm Inputs (4 years each)</t>
  </si>
  <si>
    <t>Working Capital Distress Model - Multi-Period</t>
  </si>
  <si>
    <t>Formulas reference 'Inputs'. Ratios unitless; DSO/DIO/DPO/CCC in days; two Altman scores at right.</t>
  </si>
  <si>
    <t>Tracks each firm over 4 years. 'Inputs' → financials; 'Indicators' → ratios; 'Scorecard' → latest-year flags; 'Trend' → 4-year trajectory + charts.</t>
  </si>
  <si>
    <t>Blue = input (₹ crore, standalone financials). Stable Co = Asian Paints, Slippery Co = Berger Paints, Sinking Co = Kansai Nerolac. Ret. earn. = Other Equity (proxy; Ind AS does not separately disclose retained earnings). Mkt val eq. = indicative FY-end market capitalisation (shares outstanding x approx. closing price); treat as illustrative for Altman Z (classic) only - Z″ (book-value based, in col P of Indicators) is the more reliable cross-company read per the Guide sheet.</t>
  </si>
  <si>
    <t>Distress indicators - what each one signals</t>
  </si>
  <si>
    <t>Firm</t>
  </si>
  <si>
    <t>Indicator</t>
  </si>
  <si>
    <t>Year</t>
  </si>
  <si>
    <t>Formula</t>
  </si>
  <si>
    <t>Current</t>
  </si>
  <si>
    <t>Curr.assets</t>
  </si>
  <si>
    <t>Distress signal</t>
  </si>
  <si>
    <t>Quick</t>
  </si>
  <si>
    <t>Cash</t>
  </si>
  <si>
    <t>What it tells you</t>
  </si>
  <si>
    <t>Inventory</t>
  </si>
  <si>
    <t>NWC</t>
  </si>
  <si>
    <t>Receivables</t>
  </si>
  <si>
    <t>Curr.liab.</t>
  </si>
  <si>
    <t>WC/TA</t>
  </si>
  <si>
    <t>Current ratio</t>
  </si>
  <si>
    <t>DSO</t>
  </si>
  <si>
    <t>Payables</t>
  </si>
  <si>
    <t>DIO</t>
  </si>
  <si>
    <t>Total assets</t>
  </si>
  <si>
    <t>DPO</t>
  </si>
  <si>
    <t>Total liab.</t>
  </si>
  <si>
    <t>Ret. earn.</t>
  </si>
  <si>
    <t>CCC</t>
  </si>
  <si>
    <t>Sales</t>
  </si>
  <si>
    <t>Int cov</t>
  </si>
  <si>
    <t>COGS</t>
  </si>
  <si>
    <t>Liab/EBITDA</t>
  </si>
  <si>
    <t>EBIT</t>
  </si>
  <si>
    <t>OCF/CL</t>
  </si>
  <si>
    <t>Curr. assets / Curr. liabilities</t>
  </si>
  <si>
    <t>EBITDA</t>
  </si>
  <si>
    <t>Altman Z</t>
  </si>
  <si>
    <t>Interest</t>
  </si>
  <si>
    <t>Op cash flow</t>
  </si>
  <si>
    <t>Mkt val eq.</t>
  </si>
  <si>
    <t>Altman Z″</t>
  </si>
  <si>
    <t>&lt; 1.0 (amber 1.0–1.5)</t>
  </si>
  <si>
    <t>Short-term solvency. Below 1 means current assets can't cover current dues.</t>
  </si>
  <si>
    <t>Asian Paints</t>
  </si>
  <si>
    <t>Quick ratio</t>
  </si>
  <si>
    <t>FY23</t>
  </si>
  <si>
    <t>(Curr. assets − Inventory) / Curr. liab.</t>
  </si>
  <si>
    <t>&lt; 0.7 (amber 0.7–1.0)</t>
  </si>
  <si>
    <t>Liquidity excluding slow-moving inventory.</t>
  </si>
  <si>
    <t>Net working capital</t>
  </si>
  <si>
    <t>Curr. assets − Curr. liabilities</t>
  </si>
  <si>
    <t>Negative</t>
  </si>
  <si>
    <t>Negative NWC = operations funded by short-term money - fragile.</t>
  </si>
  <si>
    <t>WC / Total assets</t>
  </si>
  <si>
    <t>(Curr. assets − Curr. liab.) / Total assets</t>
  </si>
  <si>
    <t>&lt; 0 (amber 0–0.10)</t>
  </si>
  <si>
    <t>Altman's X1. Shrinking/negative = liquidity draining vs. size.</t>
  </si>
  <si>
    <t>DSO / DIO / DPO</t>
  </si>
  <si>
    <t>Recv, Inv, Pay ÷ (Sales or COGS) × 365</t>
  </si>
  <si>
    <t>Rising trend</t>
  </si>
  <si>
    <t>FY24</t>
  </si>
  <si>
    <t>Days cash is tied in receivables, inventory, payables.</t>
  </si>
  <si>
    <t>Cash conversion cycle</t>
  </si>
  <si>
    <t>DSO + DIO − DPO</t>
  </si>
  <si>
    <t>Rising</t>
  </si>
  <si>
    <t>Days cash is locked in operations. A low CCC from stretched payables is a warning, not a win.</t>
  </si>
  <si>
    <t>Interest coverage</t>
  </si>
  <si>
    <t>EBIT / Interest</t>
  </si>
  <si>
    <t>FY25</t>
  </si>
  <si>
    <t>&lt; 1.5 (amber 1.5–3)</t>
  </si>
  <si>
    <t>Can profit service debt? Below 1, EBIT can't cover interest.</t>
  </si>
  <si>
    <t>Liabilities / EBITDA</t>
  </si>
  <si>
    <t>Total liabilities / EBITDA</t>
  </si>
  <si>
    <t>&gt; 4 or negative</t>
  </si>
  <si>
    <t>Leverage vs. cash earnings; high/negative = unsustainable debt.</t>
  </si>
  <si>
    <t>OCF / Curr. liab.</t>
  </si>
  <si>
    <t>Operating cash flow / Curr. liab.</t>
  </si>
  <si>
    <t>&lt; 0 (amber 0–0.4)</t>
  </si>
  <si>
    <t>Does the business generate cash to meet obligations?</t>
  </si>
  <si>
    <t>Altman Z (classic)</t>
  </si>
  <si>
    <t>1.2X1+1.4X2+3.3X3+0.6X4+1.0X5</t>
  </si>
  <si>
    <t>&lt; 1.81 distress; 1.81–2.99 grey</t>
  </si>
  <si>
    <t>Listed manufacturers. X4 uses MARKET value of equity.</t>
  </si>
  <si>
    <t>FY26</t>
  </si>
  <si>
    <t>Altman Z″ (private)</t>
  </si>
  <si>
    <t>6.56X1+3.26X2+6.72X3+1.05X4</t>
  </si>
  <si>
    <t>&lt; 1.1 distress; 1.1–2.6 grey</t>
  </si>
  <si>
    <t>Private / non-manufacturing firms. X4 uses BOOK equity; no sales term.</t>
  </si>
  <si>
    <t>Which Altman to use:</t>
  </si>
  <si>
    <t>Classic Z for LISTED firms (needs market cap). Z″ for PRIVATE / unlisted firms (book value only). When the two disagree, weight the trend and the flag score.</t>
  </si>
  <si>
    <t>Berger Paints</t>
  </si>
  <si>
    <t>Distress score:</t>
  </si>
  <si>
    <t>Red flag = 1, amber = 0.5. Score ≥5 = Distress, 2.5–4.9 = Watch, &lt; 2.5 = Healthy.</t>
  </si>
  <si>
    <t>Trend verdict:</t>
  </si>
  <si>
    <t>Compares FY26 vs FY23. Counts adverse moves (current ratio down, CCC up, OCF down, Z down). ≥3 = Deteriorating.</t>
  </si>
  <si>
    <t>Kansai Nerolac</t>
  </si>
  <si>
    <t>Source: Standalone Balance Sheet, Statement of P&amp;L and Cash Flow Statement in each company's audited Annual Report (FY22-23 through FY25-26 filings). COGS = Cost of materials consumed + Purchases of stock-in-trade + Changes in inventories. EBIT = Profit before tax + Finance costs (pre-exceptional items where disclosed). Sales = Revenue from operations (excl. other income).</t>
  </si>
  <si>
    <t>Distress Scorecard (latest year)</t>
  </si>
  <si>
    <t>Latest-year flags drive the score and classification. Both Altman variants shown - use Z″ for private firms.</t>
  </si>
  <si>
    <t>Leverage</t>
  </si>
  <si>
    <t>Altman</t>
  </si>
  <si>
    <t>Score</t>
  </si>
  <si>
    <t>Classification</t>
  </si>
  <si>
    <t>Z zone</t>
  </si>
  <si>
    <t>Z″ zone</t>
  </si>
  <si>
    <t>Red flags across a row name exactly which working-capital indicators drove the classification.</t>
  </si>
  <si>
    <t>4-Year Trend (FY23 → FY26)</t>
  </si>
  <si>
    <t>Deterioration - not a single bad year - is the strongest distress signal. Direction columns compare latest vs earliest.</t>
  </si>
  <si>
    <t>CR FY23</t>
  </si>
  <si>
    <t>CR FY26</t>
  </si>
  <si>
    <t>CR dir</t>
  </si>
  <si>
    <t>Z FY23</t>
  </si>
  <si>
    <t>Z FY26</t>
  </si>
  <si>
    <t>Z dir</t>
  </si>
  <si>
    <t>CCC FY23</t>
  </si>
  <si>
    <t>CCC FY26</t>
  </si>
  <si>
    <t>CCC dir</t>
  </si>
  <si>
    <t>OCF/CL FY23</t>
  </si>
  <si>
    <t>OCF/CL FY26</t>
  </si>
  <si>
    <t>OCF dir</t>
  </si>
  <si>
    <t>Trend verdict</t>
  </si>
  <si>
    <t>Peer Benchmark Analysis</t>
  </si>
  <si>
    <t>Each company is benchmarked against the median of the other two (own value excluded) - shown separately from the fixed distress-threshold test. All company values link to 'Indicators'.</t>
  </si>
  <si>
    <t>Working Capital Distress - Executive Dashboard</t>
  </si>
  <si>
    <t>Reference: distress thresholds and settings</t>
  </si>
  <si>
    <t>Metric</t>
  </si>
  <si>
    <t>Distress if</t>
  </si>
  <si>
    <t>Distress threshold</t>
  </si>
  <si>
    <t>Watch (amber) threshold</t>
  </si>
  <si>
    <t>Source in workbook (thresholds transcribed - see note 4)</t>
  </si>
  <si>
    <t>Below</t>
  </si>
  <si>
    <t>Asian Paints (Stable Co)  ·  Berger Paints (Slippery Co)  ·  Kansai Nerolac (Sinking Co)   |   FY23 – FY26, standalone financials, ₹ crore</t>
  </si>
  <si>
    <t>Guide C6; Scorecard B5:B7 flag formula</t>
  </si>
  <si>
    <t>Guide C7; Scorecard C5:C7 flag formula</t>
  </si>
  <si>
    <t>Where each company stands today (FY26)</t>
  </si>
  <si>
    <t>Guide C9; Scorecard D5:D7 flag formula</t>
  </si>
  <si>
    <t>Companies</t>
  </si>
  <si>
    <t>Interest coverage (x)</t>
  </si>
  <si>
    <t>Guide C12; Scorecard E5:E7 flag formula</t>
  </si>
  <si>
    <t>Current Ratio</t>
  </si>
  <si>
    <t>Quick Ratio</t>
  </si>
  <si>
    <t>Liabilities / EBITDA (x)</t>
  </si>
  <si>
    <t>Cash Conversion
Cycle (days)</t>
  </si>
  <si>
    <t>Above</t>
  </si>
  <si>
    <t>Interest
Coverage (x)</t>
  </si>
  <si>
    <t>Guide C13; Scorecard F5:F7 (also distress if negative)</t>
  </si>
  <si>
    <t>Liabilities /
EBITDA (x)</t>
  </si>
  <si>
    <t>OCF / Curr.
Liab.</t>
  </si>
  <si>
    <t>Distress
Classification</t>
  </si>
  <si>
    <t>OCF / Current liabilities</t>
  </si>
  <si>
    <t>Guide C14; Scorecard G5:G7 flag formula</t>
  </si>
  <si>
    <t>Guide C15; Scorecard H5:H7, L5:L7</t>
  </si>
  <si>
    <t>Guide C16; Scorecard N5:N7</t>
  </si>
  <si>
    <t>In-line band (± % of benchmark)</t>
  </si>
  <si>
    <t>Labelling assumption only: a variance within this band is tagged 'In line'. It does not change any figure.</t>
  </si>
  <si>
    <t>A.  Company vs peer benchmark, FY23 - FY26</t>
  </si>
  <si>
    <t>Better if</t>
  </si>
  <si>
    <t>Peer Benchmark (FY26)</t>
  </si>
  <si>
    <t>Variance (Co. − Peer)</t>
  </si>
  <si>
    <t>Variance %</t>
  </si>
  <si>
    <t>FY26 vs Benchmark</t>
  </si>
  <si>
    <t>Higher</t>
  </si>
  <si>
    <t>Four-year trajectory: the direction matters more than the level</t>
  </si>
  <si>
    <t>FY26 Distress Flags at a Glance</t>
  </si>
  <si>
    <t>Current
Ratio</t>
  </si>
  <si>
    <t>Quick
Ratio</t>
  </si>
  <si>
    <t>WC / Total
Assets</t>
  </si>
  <si>
    <t>Interest
Coverage</t>
  </si>
  <si>
    <t>Leverage
(Liab/EBITDA)</t>
  </si>
  <si>
    <t>Altman Z
(classic)</t>
  </si>
  <si>
    <t>Cash ratio</t>
  </si>
  <si>
    <t>Legend:</t>
  </si>
  <si>
    <t>RED = breach</t>
  </si>
  <si>
    <t>amber = watch</t>
  </si>
  <si>
    <t>ok = healthy</t>
  </si>
  <si>
    <t>The Story Behind the Numbers</t>
  </si>
  <si>
    <t>Asian Paints funds itself comfortably: current and quick ratios have held above 2x and 1.3x for four years, operating cash flow covers current liabilities better each year, and the Altman Z score, while easing as new competition compresses margins, sits far inside safe territory. This is a balance sheet built for scale, not survival - the company can absorb a bad quarter without touching its working-capital cushion.</t>
  </si>
  <si>
    <t>Berger looks healthy on the surface - its current ratio has actually improved from 1.3x to 2.2x - but look closer at the cash conversion cycle: it has stretched from 66 days to 81 days over four years. Berger is collecting and stocking more slowly than it is paying suppliers. Liquidity is being held together by leaning on payables, not by faster cash generation. That is the 'slippery' pattern: comfortable ratios masking a working-capital cycle moving the wrong way.</t>
  </si>
  <si>
    <t>DSO (days)</t>
  </si>
  <si>
    <t>Lower</t>
  </si>
  <si>
    <t>Kansai Nerolac carries the weakest interest coverage and the lowest Altman Z of the three all four years, and its Z score has fallen from 14.3 to 9.4 even after a one-off gain lifted FY25 profits. Leverage against EBITDA has more than doubled since FY23. None of its flags are red yet - but every trend line among current ratio, interest cover and Altman Z is moving toward the danger zone faster than at the other two firms. This is what deterioration looks like before it becomes distress.</t>
  </si>
  <si>
    <t>Bottom line for the room</t>
  </si>
  <si>
    <t>None of these three companies would be flagged 'distressed' by a textbook threshold today - all three are large, well-capitalised, investment-grade businesses. But working-capital distress rarely announces itself with a single red number; it shows up first as a change in direction. Asian Paints is getting stronger. Berger is holding its ratios steady by stretching payables rather than collecting faster - worth a supplier-relationship conversation before it becomes a covenant conversation. Kansai Nerolac is the one to watch: its trend lines, not its current numbers, are the early-warning signal a credit committee would want flagged now, while there is still time to act on it.</t>
  </si>
  <si>
    <t>DIO (days)</t>
  </si>
  <si>
    <t>DPO (days)</t>
  </si>
  <si>
    <t>Neutral</t>
  </si>
  <si>
    <t>Chart data - Altman Z by year</t>
  </si>
  <si>
    <t>Cash conversion cycle (days)</t>
  </si>
  <si>
    <t>Chart data - Current ratio by year</t>
  </si>
  <si>
    <t>B.  Four-year peer benchmark: company actual vs peer median, every year</t>
  </si>
  <si>
    <t>Company actual</t>
  </si>
  <si>
    <t>Peer benchmark (median of the other two)</t>
  </si>
  <si>
    <t>Variance % vs peer benchmark</t>
  </si>
  <si>
    <t>C.  Distress threshold comparison, FY26 (company vs fixed thresholds - not vs peers)</t>
  </si>
  <si>
    <t>Distress Threshold</t>
  </si>
  <si>
    <t>Watch Threshold</t>
  </si>
  <si>
    <t>Distance from Distress Threshold</t>
  </si>
  <si>
    <t>Threshold Status</t>
  </si>
  <si>
    <t>Notes</t>
  </si>
  <si>
    <t>1. Peer benchmark = MEDIAN of the two other companies for the same year (own value excluded). With two peers the median is their midpoint.</t>
  </si>
  <si>
    <t>2. Variance = company value − peer benchmark. Variance % = variance ÷ |peer benchmark|. A positive variance is not automatically good: 'Better if' gives the economic direction (Higher / Lower).</t>
  </si>
  <si>
    <t>3. DPO is labelled Neutral: the Guide warns a low CCC driven by stretched payables is a warning, not a win, so DPO is shown as Above / Below peers only.</t>
  </si>
  <si>
    <t>4. Thresholds are transcribed from Guide column C and the Scorecard flag formulas (blue inputs above) because those sheets hold them as text or embedded constants. Cash ratio, DSO, DIO, DPO and CCC have no numeric threshold in the workbook (Guide: 'rising trend'), so they are benchmarked against peers only.</t>
  </si>
  <si>
    <t>5. Distance from threshold: positive = headroom on the safe side, negative = breach. For Liabilities / EBITDA the distance is threshold − value; a negative multiple is shown as itself and flagged Distress (as in the Guide).</t>
  </si>
  <si>
    <t>6. Threshold status: Distress = beyond the distress threshold; Watch = inside the amber band; Safe = otherwise. Header colours: navy = company actual, blue = peer benchmark, red = distress threshold.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</si>
</sst>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33">
    <font>
      <sz val="11.0"/>
      <color theme="1"/>
      <name val="Calibri"/>
      <scheme val="minor"/>
    </font>
    <font>
      <b/>
      <sz val="14.0"/>
      <color rgb="FF1F3864"/>
      <name val="Arial"/>
    </font>
    <font>
      <i/>
      <sz val="9.0"/>
      <color rgb="FF595959"/>
      <name val="Arial"/>
    </font>
    <font>
      <b/>
      <sz val="10.0"/>
      <color theme="1"/>
      <name val="Arial"/>
    </font>
    <font>
      <b/>
      <sz val="9.0"/>
      <color rgb="FFFFFFFF"/>
      <name val="Arial"/>
    </font>
    <font>
      <b/>
      <sz val="9.0"/>
      <color theme="1"/>
      <name val="Arial"/>
    </font>
    <font>
      <sz val="9.0"/>
      <color theme="1"/>
      <name val="Arial"/>
    </font>
    <font>
      <sz val="10.0"/>
      <color theme="1"/>
      <name val="Arial"/>
    </font>
    <font>
      <sz val="10.0"/>
      <color rgb="FF0000FF"/>
      <name val="Arial"/>
    </font>
    <font>
      <sz val="10.0"/>
      <color rgb="FF000000"/>
      <name val="Arial"/>
    </font>
    <font>
      <i/>
      <sz val="8.0"/>
      <color rgb="FF808080"/>
      <name val="Arial"/>
    </font>
    <font>
      <sz val="9.0"/>
      <color rgb="FF595959"/>
      <name val="Arial"/>
    </font>
    <font>
      <b/>
      <sz val="11.0"/>
      <color rgb="FF1F3864"/>
      <name val="Arial"/>
    </font>
    <font>
      <b/>
      <sz val="20.0"/>
      <color rgb="FFFFFFFF"/>
      <name val="Arial"/>
    </font>
    <font/>
    <font>
      <i/>
      <sz val="11.0"/>
      <color rgb="FFFFFFFF"/>
      <name val="Arial"/>
    </font>
    <font>
      <b/>
      <sz val="13.0"/>
      <color rgb="FF1F2A44"/>
      <name val="Arial"/>
    </font>
    <font>
      <b/>
      <sz val="10.0"/>
      <color rgb="FFFFFFFF"/>
      <name val="Arial"/>
    </font>
    <font>
      <b/>
      <sz val="14.0"/>
      <color rgb="FF1F2A44"/>
      <name val="Arial"/>
    </font>
    <font>
      <b/>
      <sz val="12.0"/>
      <color rgb="FFFFFFFF"/>
      <name val="Arial"/>
    </font>
    <font>
      <sz val="12.0"/>
      <color theme="1"/>
      <name val="Arial"/>
    </font>
    <font>
      <b/>
      <sz val="10.0"/>
      <color rgb="FF1F2A44"/>
      <name val="Arial"/>
    </font>
    <font>
      <b/>
      <sz val="10.0"/>
      <color rgb="FF000000"/>
      <name val="Arial"/>
    </font>
    <font>
      <b/>
      <sz val="9.0"/>
      <color rgb="FF1F2A44"/>
      <name val="Arial"/>
    </font>
    <font>
      <i/>
      <sz val="8.0"/>
      <color rgb="FF777777"/>
      <name val="Arial"/>
    </font>
    <font>
      <b/>
      <sz val="8.0"/>
      <color rgb="FFB03A2E"/>
      <name val="Arial"/>
    </font>
    <font>
      <b/>
      <sz val="8.0"/>
      <color rgb="FFB8860B"/>
      <name val="Arial"/>
    </font>
    <font>
      <b/>
      <sz val="8.0"/>
      <color rgb="FF1E7A3D"/>
      <name val="Arial"/>
    </font>
    <font>
      <b/>
      <sz val="11.0"/>
      <color rgb="FFFFFFFF"/>
      <name val="Arial"/>
    </font>
    <font>
      <sz val="10.0"/>
      <color rgb="FF2B2B2B"/>
      <name val="Arial"/>
    </font>
    <font>
      <b/>
      <sz val="13.0"/>
      <color theme="0"/>
      <name val="Arial"/>
    </font>
    <font>
      <i/>
      <sz val="10.0"/>
      <color rgb="FF1F2A44"/>
      <name val="Arial"/>
    </font>
    <font>
      <sz val="11.0"/>
      <color theme="1"/>
      <name val="Calibri"/>
    </font>
  </fonts>
  <fills count="17">
    <fill>
      <patternFill patternType="none"/>
    </fill>
    <fill>
      <patternFill patternType="lightGray"/>
    </fill>
    <fill>
      <patternFill patternType="solid">
        <fgColor rgb="FF1F3864"/>
        <bgColor rgb="FF1F3864"/>
      </patternFill>
    </fill>
    <fill>
      <patternFill patternType="solid">
        <fgColor rgb="FFF2F5FB"/>
        <bgColor rgb="FFF2F5FB"/>
      </patternFill>
    </fill>
    <fill>
      <patternFill patternType="solid">
        <fgColor rgb="FFB03A2E"/>
        <bgColor rgb="FFB03A2E"/>
      </patternFill>
    </fill>
    <fill>
      <patternFill patternType="solid">
        <fgColor rgb="FF1F2A44"/>
        <bgColor rgb="FF1F2A44"/>
      </patternFill>
    </fill>
    <fill>
      <patternFill patternType="solid">
        <fgColor rgb="FF2E5266"/>
        <bgColor rgb="FF2E5266"/>
      </patternFill>
    </fill>
    <fill>
      <patternFill patternType="solid">
        <fgColor rgb="FF1E7A3D"/>
        <bgColor rgb="FF1E7A3D"/>
      </patternFill>
    </fill>
    <fill>
      <patternFill patternType="solid">
        <fgColor rgb="FFFFFFFF"/>
        <bgColor rgb="FFFFFFFF"/>
      </patternFill>
    </fill>
    <fill>
      <patternFill patternType="solid">
        <fgColor rgb="FFB8860B"/>
        <bgColor rgb="FFB8860B"/>
      </patternFill>
    </fill>
    <fill>
      <patternFill patternType="solid">
        <fgColor rgb="FF2E75B6"/>
        <bgColor rgb="FF2E75B6"/>
      </patternFill>
    </fill>
    <fill>
      <patternFill patternType="solid">
        <fgColor rgb="FFEAF1FB"/>
        <bgColor rgb="FFEAF1FB"/>
      </patternFill>
    </fill>
    <fill>
      <patternFill patternType="solid">
        <fgColor rgb="FFF2F2F2"/>
        <bgColor rgb="FFF2F2F2"/>
      </patternFill>
    </fill>
    <fill>
      <patternFill patternType="solid">
        <fgColor rgb="FFFAF7F0"/>
        <bgColor rgb="FFFAF7F0"/>
      </patternFill>
    </fill>
    <fill>
      <patternFill patternType="solid">
        <fgColor rgb="FF000066"/>
        <bgColor rgb="FF000066"/>
      </patternFill>
    </fill>
    <fill>
      <patternFill patternType="solid">
        <fgColor rgb="FFEFEFEF"/>
        <bgColor rgb="FFEFEFEF"/>
      </patternFill>
    </fill>
    <fill>
      <patternFill patternType="solid">
        <fgColor rgb="FFFBEFEC"/>
        <bgColor rgb="FFFBEFEC"/>
      </patternFill>
    </fill>
  </fills>
  <borders count="18">
    <border/>
    <border>
      <left style="thin">
        <color rgb="FFBFBFBF"/>
      </left>
      <right style="thin">
        <color rgb="FFBFBFBF"/>
      </right>
      <top style="thin">
        <color rgb="FFBFBFBF"/>
      </top>
      <bottom style="thin">
        <color rgb="FFBFBFBF"/>
      </bottom>
    </border>
    <border>
      <left/>
      <top/>
    </border>
    <border>
      <top/>
    </border>
    <border>
      <left style="thin">
        <color rgb="FFBFBFBF"/>
      </left>
      <top style="thin">
        <color rgb="FFBFBFBF"/>
      </top>
      <bottom style="thin">
        <color rgb="FFBFBFBF"/>
      </bottom>
    </border>
    <border>
      <right/>
      <top/>
    </border>
    <border>
      <top style="thin">
        <color rgb="FFBFBFBF"/>
      </top>
      <bottom style="thin">
        <color rgb="FFBFBFBF"/>
      </bottom>
    </border>
    <border>
      <left/>
    </border>
    <border>
      <right style="thin">
        <color rgb="FFBFBFBF"/>
      </right>
      <top style="thin">
        <color rgb="FFBFBFBF"/>
      </top>
      <bottom style="thin">
        <color rgb="FFBFBFBF"/>
      </bottom>
    </border>
    <border>
      <right/>
    </border>
    <border>
      <left/>
      <bottom/>
    </border>
    <border>
      <bottom/>
    </border>
    <border>
      <right/>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shrinkToFit="0" vertical="center" wrapText="1"/>
    </xf>
    <xf borderId="1" fillId="3" fontId="5" numFmtId="0" xfId="0" applyAlignment="1" applyBorder="1" applyFill="1" applyFont="1">
      <alignment shrinkToFit="0" vertical="top" wrapText="1"/>
    </xf>
    <xf borderId="1" fillId="3" fontId="6" numFmtId="0" xfId="0" applyAlignment="1" applyBorder="1" applyFill="1" applyFont="1">
      <alignment shrinkToFit="0" vertical="top" wrapText="1"/>
    </xf>
    <xf borderId="1" fillId="0" fontId="3" numFmtId="0" xfId="0" applyBorder="1" applyFont="1"/>
    <xf borderId="1" fillId="0" fontId="5" numFmtId="0" xfId="0" applyAlignment="1" applyBorder="1" applyFont="1">
      <alignment shrinkToFit="0" vertical="top" wrapText="1"/>
    </xf>
    <xf borderId="1" fillId="0" fontId="7" numFmtId="0" xfId="0" applyAlignment="1" applyBorder="1" applyFont="1">
      <alignment horizontal="center"/>
    </xf>
    <xf borderId="1" fillId="0" fontId="6" numFmtId="0" xfId="0" applyAlignment="1" applyBorder="1" applyFont="1">
      <alignment shrinkToFit="0" vertical="top" wrapText="1"/>
    </xf>
    <xf borderId="1" fillId="0" fontId="8" numFmtId="3" xfId="0" applyBorder="1" applyFont="1" applyNumberFormat="1"/>
    <xf borderId="1" fillId="3" fontId="3" numFmtId="0" xfId="0" applyBorder="1" applyFill="1" applyFont="1"/>
    <xf borderId="0" fillId="0" fontId="6" numFmtId="0" xfId="0" applyAlignment="1" applyFont="1">
      <alignment shrinkToFit="0" vertical="top" wrapText="1"/>
    </xf>
    <xf borderId="1" fillId="3" fontId="7" numFmtId="0" xfId="0" applyAlignment="1" applyBorder="1" applyFill="1" applyFont="1">
      <alignment horizontal="center"/>
    </xf>
    <xf borderId="1" fillId="3" fontId="8" numFmtId="3" xfId="0" applyBorder="1" applyFill="1" applyFont="1" applyNumberFormat="1"/>
    <xf borderId="0" fillId="0" fontId="6" numFmtId="0" xfId="0" applyFont="1"/>
    <xf borderId="1" fillId="0" fontId="9" numFmtId="2" xfId="0" applyAlignment="1" applyBorder="1" applyFont="1" applyNumberFormat="1">
      <alignment horizontal="center"/>
    </xf>
    <xf borderId="1" fillId="0" fontId="9" numFmtId="3" xfId="0" applyAlignment="1" applyBorder="1" applyFont="1" applyNumberFormat="1">
      <alignment horizontal="center"/>
    </xf>
    <xf borderId="0" fillId="0" fontId="10" numFmtId="0" xfId="0" applyFont="1"/>
    <xf borderId="1" fillId="0" fontId="9" numFmtId="1" xfId="0" applyAlignment="1" applyBorder="1" applyFont="1" applyNumberFormat="1">
      <alignment horizontal="center"/>
    </xf>
    <xf borderId="1" fillId="0" fontId="6" numFmtId="0" xfId="0" applyAlignment="1" applyBorder="1" applyFont="1">
      <alignment horizontal="center"/>
    </xf>
    <xf borderId="1" fillId="0" fontId="3" numFmtId="0" xfId="0" applyAlignment="1" applyBorder="1" applyFont="1">
      <alignment horizontal="center"/>
    </xf>
    <xf borderId="1" fillId="3" fontId="9" numFmtId="2" xfId="0" applyAlignment="1" applyBorder="1" applyFill="1" applyFont="1" applyNumberFormat="1">
      <alignment horizontal="center"/>
    </xf>
    <xf borderId="1" fillId="3" fontId="9" numFmtId="3" xfId="0" applyAlignment="1" applyBorder="1" applyFill="1" applyFont="1" applyNumberFormat="1">
      <alignment horizontal="center"/>
    </xf>
    <xf borderId="1" fillId="3" fontId="9" numFmtId="1" xfId="0" applyAlignment="1" applyBorder="1" applyFill="1" applyFont="1" applyNumberFormat="1">
      <alignment horizontal="center"/>
    </xf>
    <xf borderId="0" fillId="0" fontId="1" numFmtId="0" xfId="0" applyAlignment="1" applyFont="1">
      <alignment vertical="center"/>
    </xf>
    <xf borderId="0" fillId="0" fontId="11" numFmtId="0" xfId="0" applyAlignment="1" applyFont="1">
      <alignment vertical="center"/>
    </xf>
    <xf borderId="0" fillId="0" fontId="12" numFmtId="0" xfId="0" applyAlignment="1" applyFont="1">
      <alignment vertical="center"/>
    </xf>
    <xf borderId="1" fillId="4" fontId="4" numFmtId="0" xfId="0" applyAlignment="1" applyBorder="1" applyFill="1" applyFont="1">
      <alignment horizontal="center" shrinkToFit="0" vertical="center" wrapText="1"/>
    </xf>
    <xf borderId="2" fillId="5" fontId="13" numFmtId="0" xfId="0" applyAlignment="1" applyBorder="1" applyFill="1" applyFont="1">
      <alignment horizontal="center" vertical="center"/>
    </xf>
    <xf borderId="3" fillId="0" fontId="14" numFmtId="0" xfId="0" applyBorder="1" applyFont="1"/>
    <xf borderId="4" fillId="4" fontId="4" numFmtId="0" xfId="0" applyAlignment="1" applyBorder="1" applyFill="1" applyFont="1">
      <alignment horizontal="left" vertical="center"/>
    </xf>
    <xf borderId="5" fillId="0" fontId="14" numFmtId="0" xfId="0" applyBorder="1" applyFont="1"/>
    <xf borderId="6" fillId="0" fontId="14" numFmtId="0" xfId="0" applyBorder="1" applyFont="1"/>
    <xf borderId="7" fillId="0" fontId="14" numFmtId="0" xfId="0" applyBorder="1" applyFont="1"/>
    <xf borderId="8" fillId="0" fontId="14" numFmtId="0" xfId="0" applyBorder="1" applyFont="1"/>
    <xf borderId="9" fillId="0" fontId="14" numFmtId="0" xfId="0" applyBorder="1" applyFont="1"/>
    <xf borderId="10" fillId="0" fontId="14" numFmtId="0" xfId="0" applyBorder="1" applyFont="1"/>
    <xf borderId="11" fillId="0" fontId="14" numFmtId="0" xfId="0" applyBorder="1" applyFont="1"/>
    <xf borderId="1" fillId="0" fontId="3" numFmtId="0" xfId="0" applyAlignment="1" applyBorder="1" applyFont="1">
      <alignment vertical="center"/>
    </xf>
    <xf borderId="12" fillId="0" fontId="14" numFmtId="0" xfId="0" applyBorder="1" applyFont="1"/>
    <xf borderId="1" fillId="0" fontId="7" numFmtId="0" xfId="0" applyAlignment="1" applyBorder="1" applyFont="1">
      <alignment horizontal="center" vertical="center"/>
    </xf>
    <xf borderId="1" fillId="0" fontId="8" numFmtId="2" xfId="0" applyAlignment="1" applyBorder="1" applyFont="1" applyNumberFormat="1">
      <alignment horizontal="center" vertical="center"/>
    </xf>
    <xf borderId="13" fillId="5" fontId="15" numFmtId="0" xfId="0" applyAlignment="1" applyBorder="1" applyFill="1" applyFont="1">
      <alignment horizontal="center" vertical="center"/>
    </xf>
    <xf borderId="14" fillId="0" fontId="14" numFmtId="0" xfId="0" applyBorder="1" applyFont="1"/>
    <xf borderId="4" fillId="0" fontId="11" numFmtId="0" xfId="0" applyAlignment="1" applyBorder="1" applyFont="1">
      <alignment horizontal="left" vertical="center"/>
    </xf>
    <xf borderId="15" fillId="0" fontId="14" numFmtId="0" xfId="0" applyBorder="1" applyFont="1"/>
    <xf borderId="0" fillId="0" fontId="16" numFmtId="0" xfId="0" applyFont="1"/>
    <xf borderId="16" fillId="6" fontId="17" numFmtId="0" xfId="0" applyAlignment="1" applyBorder="1" applyFill="1" applyFont="1">
      <alignment horizontal="center" shrinkToFit="0" vertical="center" wrapText="1"/>
    </xf>
    <xf borderId="16" fillId="7" fontId="4" numFmtId="0" xfId="0" applyAlignment="1" applyBorder="1" applyFill="1" applyFont="1">
      <alignment horizontal="left" shrinkToFit="0" vertical="center" wrapText="1"/>
    </xf>
    <xf borderId="0" fillId="0" fontId="3" numFmtId="0" xfId="0" applyAlignment="1" applyFont="1">
      <alignment vertical="center"/>
    </xf>
    <xf borderId="16" fillId="8" fontId="18" numFmtId="2" xfId="0" applyAlignment="1" applyBorder="1" applyFill="1" applyFont="1" applyNumberFormat="1">
      <alignment horizontal="center" vertical="center"/>
    </xf>
    <xf borderId="1" fillId="0" fontId="8" numFmtId="164" xfId="0" applyAlignment="1" applyBorder="1" applyFont="1" applyNumberFormat="1">
      <alignment horizontal="center" vertical="center"/>
    </xf>
    <xf borderId="0" fillId="0" fontId="2" numFmtId="0" xfId="0" applyAlignment="1" applyFont="1">
      <alignment vertical="center"/>
    </xf>
    <xf borderId="16" fillId="8" fontId="18" numFmtId="165" xfId="0" applyAlignment="1" applyBorder="1" applyFill="1" applyFont="1" applyNumberFormat="1">
      <alignment horizontal="center" vertical="center"/>
    </xf>
    <xf borderId="17" fillId="5" fontId="19" numFmtId="0" xfId="0" applyAlignment="1" applyBorder="1" applyFill="1" applyFont="1">
      <alignment vertical="center"/>
    </xf>
    <xf borderId="17" fillId="5" fontId="20" numFmtId="0" xfId="0" applyAlignment="1" applyBorder="1" applyFill="1" applyFont="1">
      <alignment vertical="center"/>
    </xf>
    <xf borderId="16" fillId="8" fontId="21" numFmtId="0" xfId="0" applyAlignment="1" applyBorder="1" applyFill="1" applyFont="1">
      <alignment horizontal="center" vertical="center"/>
    </xf>
    <xf borderId="16" fillId="9" fontId="4" numFmtId="0" xfId="0" applyAlignment="1" applyBorder="1" applyFill="1" applyFont="1">
      <alignment horizontal="left" shrinkToFit="0" vertical="center" wrapText="1"/>
    </xf>
    <xf borderId="1" fillId="10" fontId="4" numFmtId="0" xfId="0" applyAlignment="1" applyBorder="1" applyFill="1" applyFont="1">
      <alignment horizontal="center" shrinkToFit="0" vertical="center" wrapText="1"/>
    </xf>
    <xf borderId="16" fillId="4" fontId="4" numFmtId="0" xfId="0" applyAlignment="1" applyBorder="1" applyFill="1" applyFont="1">
      <alignment horizontal="left" shrinkToFit="0" vertical="center" wrapText="1"/>
    </xf>
    <xf borderId="1" fillId="6" fontId="4" numFmtId="0" xfId="0" applyAlignment="1" applyBorder="1" applyFill="1" applyFont="1">
      <alignment horizontal="center" shrinkToFit="0" vertical="center" wrapText="1"/>
    </xf>
    <xf borderId="1" fillId="0" fontId="9" numFmtId="2" xfId="0" applyAlignment="1" applyBorder="1" applyFont="1" applyNumberFormat="1">
      <alignment horizontal="center" vertical="center"/>
    </xf>
    <xf borderId="1" fillId="11" fontId="22" numFmtId="2" xfId="0" applyAlignment="1" applyBorder="1" applyFill="1" applyFont="1" applyNumberFormat="1">
      <alignment horizontal="center" vertical="center"/>
    </xf>
    <xf borderId="16" fillId="6" fontId="4" numFmtId="0" xfId="0" applyAlignment="1" applyBorder="1" applyFill="1" applyFont="1">
      <alignment horizontal="center" shrinkToFit="0" vertical="center" wrapText="1"/>
    </xf>
    <xf borderId="1" fillId="0" fontId="7" numFmtId="2" xfId="0" applyAlignment="1" applyBorder="1" applyFont="1" applyNumberFormat="1">
      <alignment horizontal="center" vertical="center"/>
    </xf>
    <xf borderId="16" fillId="12" fontId="23" numFmtId="0" xfId="0" applyAlignment="1" applyBorder="1" applyFill="1" applyFont="1">
      <alignment horizontal="left" vertical="center"/>
    </xf>
    <xf borderId="1" fillId="0" fontId="7" numFmtId="164" xfId="0" applyAlignment="1" applyBorder="1" applyFont="1" applyNumberFormat="1">
      <alignment horizontal="center" vertical="center"/>
    </xf>
    <xf borderId="16" fillId="0" fontId="4" numFmtId="0" xfId="0" applyAlignment="1" applyBorder="1" applyFont="1">
      <alignment horizontal="center" vertical="center"/>
    </xf>
    <xf borderId="1" fillId="0" fontId="3" numFmtId="0" xfId="0" applyAlignment="1" applyBorder="1" applyFont="1">
      <alignment horizontal="center" vertical="center"/>
    </xf>
    <xf borderId="0" fillId="0" fontId="24" numFmtId="0" xfId="0" applyFont="1"/>
    <xf borderId="0" fillId="0" fontId="25" numFmtId="0" xfId="0" applyFont="1"/>
    <xf borderId="0" fillId="0" fontId="26" numFmtId="0" xfId="0" applyFont="1"/>
    <xf borderId="0" fillId="0" fontId="27" numFmtId="0" xfId="0" applyFont="1"/>
    <xf borderId="13" fillId="7" fontId="28" numFmtId="0" xfId="0" applyAlignment="1" applyBorder="1" applyFill="1" applyFont="1">
      <alignment horizontal="left" vertical="center"/>
    </xf>
    <xf borderId="2" fillId="13" fontId="29" numFmtId="0" xfId="0" applyAlignment="1" applyBorder="1" applyFill="1" applyFont="1">
      <alignment horizontal="left" shrinkToFit="0" vertical="top" wrapText="1"/>
    </xf>
    <xf borderId="13" fillId="9" fontId="28" numFmtId="0" xfId="0" applyAlignment="1" applyBorder="1" applyFill="1" applyFont="1">
      <alignment horizontal="left" vertical="center"/>
    </xf>
    <xf borderId="1" fillId="0" fontId="9" numFmtId="1" xfId="0" applyAlignment="1" applyBorder="1" applyFont="1" applyNumberFormat="1">
      <alignment horizontal="center" vertical="center"/>
    </xf>
    <xf borderId="13" fillId="4" fontId="28" numFmtId="0" xfId="0" applyAlignment="1" applyBorder="1" applyFill="1" applyFont="1">
      <alignment horizontal="left" vertical="center"/>
    </xf>
    <xf borderId="1" fillId="11" fontId="22" numFmtId="1" xfId="0" applyAlignment="1" applyBorder="1" applyFill="1" applyFont="1" applyNumberFormat="1">
      <alignment horizontal="center" vertical="center"/>
    </xf>
    <xf borderId="13" fillId="14" fontId="30" numFmtId="0" xfId="0" applyAlignment="1" applyBorder="1" applyFill="1" applyFont="1">
      <alignment horizontal="left"/>
    </xf>
    <xf borderId="1" fillId="0" fontId="7" numFmtId="1" xfId="0" applyAlignment="1" applyBorder="1" applyFont="1" applyNumberFormat="1">
      <alignment horizontal="center" vertical="center"/>
    </xf>
    <xf borderId="2" fillId="15" fontId="31" numFmtId="0" xfId="0" applyAlignment="1" applyBorder="1" applyFill="1" applyFont="1">
      <alignment horizontal="left" shrinkToFit="0" vertical="top" wrapText="1"/>
    </xf>
    <xf borderId="0" fillId="0" fontId="32" numFmtId="2" xfId="0" applyFont="1" applyNumberFormat="1"/>
    <xf borderId="1" fillId="0" fontId="9" numFmtId="165" xfId="0" applyAlignment="1" applyBorder="1" applyFont="1" applyNumberFormat="1">
      <alignment horizontal="center" vertical="center"/>
    </xf>
    <xf borderId="1" fillId="11" fontId="22" numFmtId="165" xfId="0" applyAlignment="1" applyBorder="1" applyFill="1" applyFont="1" applyNumberFormat="1">
      <alignment horizontal="center" vertical="center"/>
    </xf>
    <xf borderId="1" fillId="0" fontId="7" numFmtId="165" xfId="0" applyAlignment="1" applyBorder="1" applyFont="1" applyNumberFormat="1">
      <alignment horizontal="center" vertical="center"/>
    </xf>
    <xf borderId="4" fillId="2" fontId="4" numFmtId="0" xfId="0" applyAlignment="1" applyBorder="1" applyFill="1" applyFont="1">
      <alignment horizontal="center" shrinkToFit="0" vertical="center" wrapText="1"/>
    </xf>
    <xf borderId="4" fillId="10" fontId="4" numFmtId="0" xfId="0" applyAlignment="1" applyBorder="1" applyFill="1" applyFont="1">
      <alignment horizontal="center" shrinkToFit="0" vertical="center" wrapText="1"/>
    </xf>
    <xf borderId="4" fillId="6" fontId="4" numFmtId="0" xfId="0" applyAlignment="1" applyBorder="1" applyFill="1" applyFont="1">
      <alignment horizontal="center" shrinkToFit="0" vertical="center" wrapText="1"/>
    </xf>
    <xf borderId="1" fillId="11" fontId="9" numFmtId="2" xfId="0" applyAlignment="1" applyBorder="1" applyFill="1" applyFont="1" applyNumberFormat="1">
      <alignment horizontal="center" vertical="center"/>
    </xf>
    <xf borderId="1" fillId="11" fontId="9" numFmtId="1" xfId="0" applyAlignment="1" applyBorder="1" applyFill="1" applyFont="1" applyNumberFormat="1">
      <alignment horizontal="center" vertical="center"/>
    </xf>
    <xf borderId="1" fillId="11" fontId="9" numFmtId="165" xfId="0" applyAlignment="1" applyBorder="1" applyFill="1" applyFont="1" applyNumberFormat="1">
      <alignment horizontal="center" vertical="center"/>
    </xf>
    <xf borderId="1" fillId="0" fontId="22" numFmtId="2" xfId="0" applyAlignment="1" applyBorder="1" applyFont="1" applyNumberFormat="1">
      <alignment horizontal="center" vertical="center"/>
    </xf>
    <xf borderId="1" fillId="16" fontId="9" numFmtId="2" xfId="0" applyAlignment="1" applyBorder="1" applyFill="1" applyFont="1" applyNumberFormat="1">
      <alignment horizontal="center" vertical="center"/>
    </xf>
    <xf borderId="1" fillId="0" fontId="22" numFmtId="165" xfId="0" applyAlignment="1" applyBorder="1" applyFont="1" applyNumberFormat="1">
      <alignment horizontal="center" vertical="center"/>
    </xf>
  </cellXfs>
  <cellStyles count="1">
    <cellStyle xfId="0" name="Normal" builtinId="0"/>
  </cellStyles>
  <dxfs count="7">
    <dxf>
      <font/>
      <fill>
        <patternFill patternType="solid">
          <fgColor rgb="FFF8CBAD"/>
          <bgColor rgb="FFF8CBAD"/>
        </patternFill>
      </fill>
      <border/>
    </dxf>
    <dxf>
      <font/>
      <fill>
        <patternFill patternType="solid">
          <fgColor rgb="FFFFE699"/>
          <bgColor rgb="FFFFE699"/>
        </patternFill>
      </fill>
      <border/>
    </dxf>
    <dxf>
      <font/>
      <fill>
        <patternFill patternType="solid">
          <fgColor rgb="FFC6E0B4"/>
          <bgColor rgb="FFC6E0B4"/>
        </patternFill>
      </fill>
      <border/>
    </dxf>
    <dxf>
      <font>
        <b/>
        <color rgb="FFFFFFFF"/>
      </font>
      <fill>
        <patternFill patternType="solid">
          <fgColor rgb="FFB03A2E"/>
          <bgColor rgb="FFB03A2E"/>
        </patternFill>
      </fill>
      <border/>
    </dxf>
    <dxf>
      <font>
        <b/>
        <color rgb="FFFFFFFF"/>
      </font>
      <fill>
        <patternFill patternType="solid">
          <fgColor rgb="FFB8860B"/>
          <bgColor rgb="FFB8860B"/>
        </patternFill>
      </fill>
      <border/>
    </dxf>
    <dxf>
      <font>
        <b/>
        <color rgb="FFFFFFFF"/>
      </font>
      <fill>
        <patternFill patternType="solid">
          <fgColor rgb="FF1E7A3D"/>
          <bgColor rgb="FF1E7A3D"/>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Altman Z-Score (classic) 4-Year Trend</a:t>
            </a:r>
          </a:p>
        </c:rich>
      </c:tx>
      <c:overlay val="0"/>
    </c:title>
    <c:plotArea>
      <c:layout/>
      <c:lineChart>
        <c:ser>
          <c:idx val="0"/>
          <c:order val="0"/>
          <c:tx>
            <c:v>Asian Paints</c:v>
          </c:tx>
          <c:spPr>
            <a:ln cmpd="sng" w="19050">
              <a:solidFill>
                <a:srgbClr val="1E7A3D">
                  <a:alpha val="100000"/>
                </a:srgbClr>
              </a:solidFill>
            </a:ln>
          </c:spPr>
          <c:marker>
            <c:symbol val="circle"/>
            <c:size val="6"/>
            <c:spPr>
              <a:solidFill>
                <a:srgbClr val="1E7A3D">
                  <a:alpha val="100000"/>
                </a:srgbClr>
              </a:solidFill>
              <a:ln cmpd="sng">
                <a:solidFill>
                  <a:srgbClr val="1E7A3D">
                    <a:alpha val="100000"/>
                  </a:srgbClr>
                </a:solidFill>
              </a:ln>
            </c:spPr>
          </c:marker>
          <c:cat>
            <c:strRef>
              <c:f>Trend!$A$12:$A$15</c:f>
            </c:strRef>
          </c:cat>
          <c:val>
            <c:numRef>
              <c:f>Trend!$B$12:$B$15</c:f>
              <c:numCache/>
            </c:numRef>
          </c:val>
          <c:smooth val="0"/>
        </c:ser>
        <c:ser>
          <c:idx val="1"/>
          <c:order val="1"/>
          <c:tx>
            <c:v>Berger Paints</c:v>
          </c:tx>
          <c:spPr>
            <a:ln cmpd="sng" w="19050">
              <a:solidFill>
                <a:srgbClr val="B8860B">
                  <a:alpha val="100000"/>
                </a:srgbClr>
              </a:solidFill>
            </a:ln>
          </c:spPr>
          <c:marker>
            <c:symbol val="circle"/>
            <c:size val="6"/>
            <c:spPr>
              <a:solidFill>
                <a:srgbClr val="B8860B">
                  <a:alpha val="100000"/>
                </a:srgbClr>
              </a:solidFill>
              <a:ln cmpd="sng">
                <a:solidFill>
                  <a:srgbClr val="B8860B">
                    <a:alpha val="100000"/>
                  </a:srgbClr>
                </a:solidFill>
              </a:ln>
            </c:spPr>
          </c:marker>
          <c:cat>
            <c:strRef>
              <c:f>Trend!$A$12:$A$15</c:f>
            </c:strRef>
          </c:cat>
          <c:val>
            <c:numRef>
              <c:f>Trend!$C$12:$C$15</c:f>
              <c:numCache/>
            </c:numRef>
          </c:val>
          <c:smooth val="0"/>
        </c:ser>
        <c:ser>
          <c:idx val="2"/>
          <c:order val="2"/>
          <c:tx>
            <c:v>Kansai Nerolac</c:v>
          </c:tx>
          <c:spPr>
            <a:ln cmpd="sng" w="19050">
              <a:solidFill>
                <a:srgbClr val="B03A2E">
                  <a:alpha val="100000"/>
                </a:srgbClr>
              </a:solidFill>
            </a:ln>
          </c:spPr>
          <c:marker>
            <c:symbol val="circle"/>
            <c:size val="6"/>
            <c:spPr>
              <a:solidFill>
                <a:srgbClr val="B03A2E">
                  <a:alpha val="100000"/>
                </a:srgbClr>
              </a:solidFill>
              <a:ln cmpd="sng">
                <a:solidFill>
                  <a:srgbClr val="B03A2E">
                    <a:alpha val="100000"/>
                  </a:srgbClr>
                </a:solidFill>
              </a:ln>
            </c:spPr>
          </c:marker>
          <c:cat>
            <c:strRef>
              <c:f>Trend!$A$12:$A$15</c:f>
            </c:strRef>
          </c:cat>
          <c:val>
            <c:numRef>
              <c:f>Trend!$D$12:$D$15</c:f>
              <c:numCache/>
            </c:numRef>
          </c:val>
          <c:smooth val="0"/>
        </c:ser>
        <c:axId val="1617370943"/>
        <c:axId val="1928312777"/>
      </c:lineChart>
      <c:catAx>
        <c:axId val="1617370943"/>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Fiscal Year</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28312777"/>
      </c:catAx>
      <c:valAx>
        <c:axId val="192831277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Altman Z</a:t>
                </a:r>
              </a:p>
            </c:rich>
          </c:tx>
          <c:overlay val="0"/>
        </c:title>
        <c:numFmt formatCode="0.00" sourceLinked="0"/>
        <c:majorTickMark val="none"/>
        <c:minorTickMark val="none"/>
        <c:tickLblPos val="nextTo"/>
        <c:spPr>
          <a:ln>
            <a:noFill/>
          </a:ln>
        </c:spPr>
        <c:txPr>
          <a:bodyPr/>
          <a:lstStyle/>
          <a:p>
            <a:pPr lvl="0">
              <a:defRPr b="0" i="0" sz="1000">
                <a:solidFill>
                  <a:srgbClr val="000000"/>
                </a:solidFill>
                <a:latin typeface="Calibri"/>
              </a:defRPr>
            </a:pPr>
          </a:p>
        </c:txPr>
        <c:crossAx val="1617370943"/>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Current Ratio 4-Year Trend</a:t>
            </a:r>
          </a:p>
        </c:rich>
      </c:tx>
      <c:overlay val="0"/>
    </c:title>
    <c:plotArea>
      <c:layout/>
      <c:lineChart>
        <c:ser>
          <c:idx val="0"/>
          <c:order val="0"/>
          <c:tx>
            <c:v>Asian Paints</c:v>
          </c:tx>
          <c:spPr>
            <a:ln cmpd="sng" w="19050">
              <a:solidFill>
                <a:srgbClr val="1E7A3D">
                  <a:alpha val="100000"/>
                </a:srgbClr>
              </a:solidFill>
            </a:ln>
          </c:spPr>
          <c:marker>
            <c:symbol val="circle"/>
            <c:size val="6"/>
            <c:spPr>
              <a:solidFill>
                <a:srgbClr val="1E7A3D">
                  <a:alpha val="100000"/>
                </a:srgbClr>
              </a:solidFill>
              <a:ln cmpd="sng">
                <a:solidFill>
                  <a:srgbClr val="1E7A3D">
                    <a:alpha val="100000"/>
                  </a:srgbClr>
                </a:solidFill>
              </a:ln>
            </c:spPr>
          </c:marker>
          <c:cat>
            <c:strRef>
              <c:f>Trend!$A$19:$A$22</c:f>
            </c:strRef>
          </c:cat>
          <c:val>
            <c:numRef>
              <c:f>Trend!$B$19:$B$22</c:f>
              <c:numCache/>
            </c:numRef>
          </c:val>
          <c:smooth val="0"/>
        </c:ser>
        <c:ser>
          <c:idx val="1"/>
          <c:order val="1"/>
          <c:tx>
            <c:v>Berger Paints</c:v>
          </c:tx>
          <c:spPr>
            <a:ln cmpd="sng" w="19050">
              <a:solidFill>
                <a:srgbClr val="B8860B">
                  <a:alpha val="100000"/>
                </a:srgbClr>
              </a:solidFill>
            </a:ln>
          </c:spPr>
          <c:marker>
            <c:symbol val="circle"/>
            <c:size val="6"/>
            <c:spPr>
              <a:solidFill>
                <a:srgbClr val="B8860B">
                  <a:alpha val="100000"/>
                </a:srgbClr>
              </a:solidFill>
              <a:ln cmpd="sng">
                <a:solidFill>
                  <a:srgbClr val="B8860B">
                    <a:alpha val="100000"/>
                  </a:srgbClr>
                </a:solidFill>
              </a:ln>
            </c:spPr>
          </c:marker>
          <c:cat>
            <c:strRef>
              <c:f>Trend!$A$19:$A$22</c:f>
            </c:strRef>
          </c:cat>
          <c:val>
            <c:numRef>
              <c:f>Trend!$C$19:$C$22</c:f>
              <c:numCache/>
            </c:numRef>
          </c:val>
          <c:smooth val="0"/>
        </c:ser>
        <c:ser>
          <c:idx val="2"/>
          <c:order val="2"/>
          <c:tx>
            <c:v>Kansai Nerolac</c:v>
          </c:tx>
          <c:spPr>
            <a:ln cmpd="sng" w="19050">
              <a:solidFill>
                <a:srgbClr val="B03A2E">
                  <a:alpha val="100000"/>
                </a:srgbClr>
              </a:solidFill>
            </a:ln>
          </c:spPr>
          <c:marker>
            <c:symbol val="circle"/>
            <c:size val="6"/>
            <c:spPr>
              <a:solidFill>
                <a:srgbClr val="B03A2E">
                  <a:alpha val="100000"/>
                </a:srgbClr>
              </a:solidFill>
              <a:ln cmpd="sng">
                <a:solidFill>
                  <a:srgbClr val="B03A2E">
                    <a:alpha val="100000"/>
                  </a:srgbClr>
                </a:solidFill>
              </a:ln>
            </c:spPr>
          </c:marker>
          <c:cat>
            <c:strRef>
              <c:f>Trend!$A$19:$A$22</c:f>
            </c:strRef>
          </c:cat>
          <c:val>
            <c:numRef>
              <c:f>Trend!$D$19:$D$22</c:f>
              <c:numCache/>
            </c:numRef>
          </c:val>
          <c:smooth val="0"/>
        </c:ser>
        <c:axId val="1168700338"/>
        <c:axId val="1186628514"/>
      </c:lineChart>
      <c:catAx>
        <c:axId val="1168700338"/>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Fiscal Year</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86628514"/>
      </c:catAx>
      <c:valAx>
        <c:axId val="118662851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Current Ratio (x)</a:t>
                </a:r>
              </a:p>
            </c:rich>
          </c:tx>
          <c:overlay val="0"/>
        </c:title>
        <c:numFmt formatCode="0.00" sourceLinked="0"/>
        <c:majorTickMark val="none"/>
        <c:minorTickMark val="none"/>
        <c:tickLblPos val="nextTo"/>
        <c:spPr>
          <a:ln>
            <a:noFill/>
          </a:ln>
        </c:spPr>
        <c:txPr>
          <a:bodyPr/>
          <a:lstStyle/>
          <a:p>
            <a:pPr lvl="0">
              <a:defRPr b="0" i="0" sz="1000">
                <a:solidFill>
                  <a:srgbClr val="000000"/>
                </a:solidFill>
                <a:latin typeface="Calibri"/>
              </a:defRPr>
            </a:pPr>
          </a:p>
        </c:txPr>
        <c:crossAx val="116870033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Cash Conversion Cycle (days) FY26</a:t>
            </a:r>
          </a:p>
        </c:rich>
      </c:tx>
      <c:overlay val="0"/>
    </c:title>
    <c:plotArea>
      <c:layout/>
      <c:barChart>
        <c:barDir val="col"/>
        <c:ser>
          <c:idx val="0"/>
          <c:order val="0"/>
          <c:tx>
            <c:v>Interest
Coverage (x)</c:v>
          </c:tx>
          <c:spPr>
            <a:solidFill>
              <a:srgbClr val="2E5266"/>
            </a:solidFill>
            <a:ln cmpd="sng">
              <a:noFill/>
            </a:ln>
          </c:spPr>
          <c:dPt>
            <c:idx val="0"/>
            <c:spPr>
              <a:solidFill>
                <a:srgbClr val="1E7A3D"/>
              </a:solidFill>
              <a:ln cmpd="sng">
                <a:noFill/>
              </a:ln>
            </c:spPr>
          </c:dPt>
          <c:dPt>
            <c:idx val="1"/>
            <c:spPr>
              <a:solidFill>
                <a:srgbClr val="B8860B"/>
              </a:solidFill>
              <a:ln cmpd="sng">
                <a:noFill/>
              </a:ln>
            </c:spPr>
          </c:dPt>
          <c:dPt>
            <c:idx val="2"/>
            <c:spPr>
              <a:solidFill>
                <a:srgbClr val="B03A2E"/>
              </a:solidFill>
              <a:ln cmpd="sng">
                <a:noFill/>
              </a:ln>
            </c:spPr>
          </c:dPt>
          <c:cat>
            <c:strRef>
              <c:f>'Executive Dashboard'!$B$8:$B$10</c:f>
            </c:strRef>
          </c:cat>
          <c:val>
            <c:numRef>
              <c:f>'Executive Dashboard'!$E$8:$E$10</c:f>
              <c:numCache/>
            </c:numRef>
          </c:val>
        </c:ser>
        <c:axId val="759583722"/>
        <c:axId val="1174099727"/>
      </c:barChart>
      <c:catAx>
        <c:axId val="759583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174099727"/>
      </c:catAx>
      <c:valAx>
        <c:axId val="117409972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Days</a:t>
                </a:r>
              </a:p>
            </c:rich>
          </c:tx>
          <c:overlay val="0"/>
        </c:title>
        <c:numFmt formatCode="0.0" sourceLinked="0"/>
        <c:majorTickMark val="none"/>
        <c:minorTickMark val="none"/>
        <c:tickLblPos val="nextTo"/>
        <c:spPr>
          <a:ln>
            <a:noFill/>
          </a:ln>
        </c:spPr>
        <c:txPr>
          <a:bodyPr/>
          <a:lstStyle/>
          <a:p>
            <a:pPr lvl="0">
              <a:defRPr b="0" i="0" sz="1000">
                <a:solidFill>
                  <a:srgbClr val="000000"/>
                </a:solidFill>
                <a:latin typeface="Calibri"/>
              </a:defRPr>
            </a:pPr>
          </a:p>
        </c:txPr>
        <c:crossAx val="759583722"/>
      </c:valAx>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Interest Coverage (x) FY26</a:t>
            </a:r>
          </a:p>
        </c:rich>
      </c:tx>
      <c:overlay val="0"/>
    </c:title>
    <c:plotArea>
      <c:layout/>
      <c:barChart>
        <c:barDir val="col"/>
        <c:ser>
          <c:idx val="0"/>
          <c:order val="0"/>
          <c:tx>
            <c:v>Liabilities /
EBITDA (x)</c:v>
          </c:tx>
          <c:spPr>
            <a:solidFill>
              <a:srgbClr val="4F81BD"/>
            </a:solidFill>
            <a:ln cmpd="sng">
              <a:noFill/>
            </a:ln>
          </c:spPr>
          <c:dPt>
            <c:idx val="0"/>
            <c:spPr>
              <a:solidFill>
                <a:srgbClr val="1E7A3D"/>
              </a:solidFill>
              <a:ln cmpd="sng">
                <a:noFill/>
              </a:ln>
            </c:spPr>
          </c:dPt>
          <c:dPt>
            <c:idx val="1"/>
            <c:spPr>
              <a:solidFill>
                <a:srgbClr val="B8860B"/>
              </a:solidFill>
              <a:ln cmpd="sng">
                <a:noFill/>
              </a:ln>
            </c:spPr>
          </c:dPt>
          <c:dPt>
            <c:idx val="2"/>
            <c:spPr>
              <a:solidFill>
                <a:srgbClr val="B03A2E"/>
              </a:solidFill>
              <a:ln cmpd="sng">
                <a:noFill/>
              </a:ln>
            </c:spPr>
          </c:dPt>
          <c:cat>
            <c:strRef>
              <c:f>'Executive Dashboard'!$B$8:$B$10</c:f>
            </c:strRef>
          </c:cat>
          <c:val>
            <c:numRef>
              <c:f>'Executive Dashboard'!$F$8:$F$10</c:f>
              <c:numCache/>
            </c:numRef>
          </c:val>
        </c:ser>
        <c:axId val="1970390736"/>
        <c:axId val="687508301"/>
      </c:barChart>
      <c:catAx>
        <c:axId val="19703907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687508301"/>
      </c:catAx>
      <c:valAx>
        <c:axId val="68750830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EBIT / Interest (x)</a:t>
                </a:r>
              </a:p>
            </c:rich>
          </c:tx>
          <c:overlay val="0"/>
        </c:title>
        <c:numFmt formatCode="0.00" sourceLinked="0"/>
        <c:majorTickMark val="none"/>
        <c:minorTickMark val="none"/>
        <c:tickLblPos val="nextTo"/>
        <c:spPr>
          <a:ln>
            <a:noFill/>
          </a:ln>
        </c:spPr>
        <c:txPr>
          <a:bodyPr/>
          <a:lstStyle/>
          <a:p>
            <a:pPr lvl="0">
              <a:defRPr b="0" i="0" sz="1000">
                <a:solidFill>
                  <a:srgbClr val="000000"/>
                </a:solidFill>
                <a:latin typeface="Calibri"/>
              </a:defRPr>
            </a:pPr>
          </a:p>
        </c:txPr>
        <c:crossAx val="1970390736"/>
      </c:valAx>
    </c:plotArea>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Altman Z-score trend (distress &lt; 1.81)</a:t>
            </a:r>
          </a:p>
        </c:rich>
      </c:tx>
      <c:overlay val="0"/>
    </c:title>
    <c:plotArea>
      <c:layout/>
      <c:lineChart>
        <c:ser>
          <c:idx val="0"/>
          <c:order val="0"/>
          <c:tx>
            <c:v>Asian Paints</c:v>
          </c:tx>
          <c:spPr>
            <a:ln cmpd="sng" w="38100">
              <a:solidFill>
                <a:srgbClr val="9D3E3B">
                  <a:alpha val="100000"/>
                </a:srgbClr>
              </a:solidFill>
            </a:ln>
          </c:spPr>
          <c:marker>
            <c:symbol val="none"/>
          </c:marker>
          <c:cat>
            <c:strRef>
              <c:f>Trend!$A$12:$A$15</c:f>
            </c:strRef>
          </c:cat>
          <c:val>
            <c:numRef>
              <c:f>Trend!$B$12:$B$15</c:f>
              <c:numCache/>
            </c:numRef>
          </c:val>
          <c:smooth val="1"/>
        </c:ser>
        <c:ser>
          <c:idx val="1"/>
          <c:order val="1"/>
          <c:tx>
            <c:v>Berger Paints</c:v>
          </c:tx>
          <c:spPr>
            <a:ln cmpd="sng" w="38100">
              <a:solidFill>
                <a:srgbClr val="BE4B48">
                  <a:alpha val="100000"/>
                </a:srgbClr>
              </a:solidFill>
            </a:ln>
          </c:spPr>
          <c:marker>
            <c:symbol val="none"/>
          </c:marker>
          <c:cat>
            <c:strRef>
              <c:f>Trend!$A$12:$A$15</c:f>
            </c:strRef>
          </c:cat>
          <c:val>
            <c:numRef>
              <c:f>Trend!$C$12:$C$15</c:f>
              <c:numCache/>
            </c:numRef>
          </c:val>
          <c:smooth val="1"/>
        </c:ser>
        <c:ser>
          <c:idx val="2"/>
          <c:order val="2"/>
          <c:tx>
            <c:v>Kansai Nerolac</c:v>
          </c:tx>
          <c:spPr>
            <a:ln cmpd="sng" w="38100">
              <a:solidFill>
                <a:srgbClr val="D4A5A4">
                  <a:alpha val="100000"/>
                </a:srgbClr>
              </a:solidFill>
            </a:ln>
          </c:spPr>
          <c:marker>
            <c:symbol val="none"/>
          </c:marker>
          <c:cat>
            <c:strRef>
              <c:f>Trend!$A$12:$A$15</c:f>
            </c:strRef>
          </c:cat>
          <c:val>
            <c:numRef>
              <c:f>Trend!$D$12:$D$15</c:f>
              <c:numCache/>
            </c:numRef>
          </c:val>
          <c:smooth val="1"/>
        </c:ser>
        <c:axId val="555351513"/>
        <c:axId val="1857416529"/>
      </c:lineChart>
      <c:catAx>
        <c:axId val="555351513"/>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Year</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857416529"/>
      </c:catAx>
      <c:valAx>
        <c:axId val="185741652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Altman Z</a:t>
                </a:r>
              </a:p>
            </c:rich>
          </c:tx>
          <c:overlay val="0"/>
        </c:title>
        <c:numFmt formatCode="0.00" sourceLinked="0"/>
        <c:majorTickMark val="none"/>
        <c:minorTickMark val="none"/>
        <c:tickLblPos val="nextTo"/>
        <c:spPr>
          <a:ln>
            <a:noFill/>
          </a:ln>
        </c:spPr>
        <c:txPr>
          <a:bodyPr/>
          <a:lstStyle/>
          <a:p>
            <a:pPr lvl="0">
              <a:defRPr b="0" i="0" sz="1000">
                <a:solidFill>
                  <a:srgbClr val="000000"/>
                </a:solidFill>
                <a:latin typeface="Calibri"/>
              </a:defRPr>
            </a:pPr>
          </a:p>
        </c:txPr>
        <c:crossAx val="555351513"/>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Current ratio trend (distress &lt; 1.0)</a:t>
            </a:r>
          </a:p>
        </c:rich>
      </c:tx>
      <c:overlay val="0"/>
    </c:title>
    <c:plotArea>
      <c:layout/>
      <c:lineChart>
        <c:ser>
          <c:idx val="0"/>
          <c:order val="0"/>
          <c:tx>
            <c:v>Asian Paints</c:v>
          </c:tx>
          <c:spPr>
            <a:ln cmpd="sng" w="38100">
              <a:solidFill>
                <a:srgbClr val="9D3E3B">
                  <a:alpha val="100000"/>
                </a:srgbClr>
              </a:solidFill>
            </a:ln>
          </c:spPr>
          <c:marker>
            <c:symbol val="none"/>
          </c:marker>
          <c:cat>
            <c:strRef>
              <c:f>Trend!$A$19:$A$22</c:f>
            </c:strRef>
          </c:cat>
          <c:val>
            <c:numRef>
              <c:f>Trend!$B$19:$B$22</c:f>
              <c:numCache/>
            </c:numRef>
          </c:val>
          <c:smooth val="1"/>
        </c:ser>
        <c:ser>
          <c:idx val="1"/>
          <c:order val="1"/>
          <c:tx>
            <c:v>Berger Paints</c:v>
          </c:tx>
          <c:spPr>
            <a:ln cmpd="sng" w="38100">
              <a:solidFill>
                <a:srgbClr val="BE4B48">
                  <a:alpha val="100000"/>
                </a:srgbClr>
              </a:solidFill>
            </a:ln>
          </c:spPr>
          <c:marker>
            <c:symbol val="none"/>
          </c:marker>
          <c:cat>
            <c:strRef>
              <c:f>Trend!$A$19:$A$22</c:f>
            </c:strRef>
          </c:cat>
          <c:val>
            <c:numRef>
              <c:f>Trend!$C$19:$C$22</c:f>
              <c:numCache/>
            </c:numRef>
          </c:val>
          <c:smooth val="1"/>
        </c:ser>
        <c:ser>
          <c:idx val="2"/>
          <c:order val="2"/>
          <c:tx>
            <c:v>Kansai Nerolac</c:v>
          </c:tx>
          <c:spPr>
            <a:ln cmpd="sng" w="38100">
              <a:solidFill>
                <a:srgbClr val="D4A5A4">
                  <a:alpha val="100000"/>
                </a:srgbClr>
              </a:solidFill>
            </a:ln>
          </c:spPr>
          <c:marker>
            <c:symbol val="none"/>
          </c:marker>
          <c:cat>
            <c:strRef>
              <c:f>Trend!$A$19:$A$22</c:f>
            </c:strRef>
          </c:cat>
          <c:val>
            <c:numRef>
              <c:f>Trend!$D$19:$D$22</c:f>
              <c:numCache/>
            </c:numRef>
          </c:val>
          <c:smooth val="1"/>
        </c:ser>
        <c:axId val="1367956669"/>
        <c:axId val="1490642782"/>
      </c:lineChart>
      <c:catAx>
        <c:axId val="1367956669"/>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Year</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90642782"/>
      </c:catAx>
      <c:valAx>
        <c:axId val="1490642782"/>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Current ratio</a:t>
                </a:r>
              </a:p>
            </c:rich>
          </c:tx>
          <c:overlay val="0"/>
        </c:title>
        <c:numFmt formatCode="0.00" sourceLinked="0"/>
        <c:majorTickMark val="none"/>
        <c:minorTickMark val="none"/>
        <c:tickLblPos val="nextTo"/>
        <c:spPr>
          <a:ln>
            <a:noFill/>
          </a:ln>
        </c:spPr>
        <c:txPr>
          <a:bodyPr/>
          <a:lstStyle/>
          <a:p>
            <a:pPr lvl="0">
              <a:defRPr b="0" i="0" sz="1000">
                <a:solidFill>
                  <a:srgbClr val="000000"/>
                </a:solidFill>
                <a:latin typeface="Calibri"/>
              </a:defRPr>
            </a:pPr>
          </a:p>
        </c:txPr>
        <c:crossAx val="1367956669"/>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5610225" cy="29051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238125</xdr:colOff>
      <xdr:row>20</xdr:row>
      <xdr:rowOff>0</xdr:rowOff>
    </xdr:from>
    <xdr:ext cx="5324475" cy="29051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38</xdr:row>
      <xdr:rowOff>0</xdr:rowOff>
    </xdr:from>
    <xdr:ext cx="5610225" cy="2733675"/>
    <xdr:graphicFrame>
      <xdr:nvGraphicFramePr>
        <xdr:cNvPr id="4" name="Chart 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228600</xdr:colOff>
      <xdr:row>38</xdr:row>
      <xdr:rowOff>0</xdr:rowOff>
    </xdr:from>
    <xdr:ext cx="5343525" cy="2733675"/>
    <xdr:graphicFrame>
      <xdr:nvGraphicFramePr>
        <xdr:cNvPr id="6" name="Chart 6"/>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8</xdr:row>
      <xdr:rowOff>66675</xdr:rowOff>
    </xdr:from>
    <xdr:ext cx="4419600" cy="249555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0</xdr:colOff>
      <xdr:row>23</xdr:row>
      <xdr:rowOff>66675</xdr:rowOff>
    </xdr:from>
    <xdr:ext cx="4419600" cy="239077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0.0"/>
    <col customWidth="1" min="3" max="9" width="16.0"/>
    <col customWidth="1" min="10" max="10" width="18.0"/>
    <col customWidth="1" min="11" max="26" width="8.71"/>
  </cols>
  <sheetData>
    <row r="1" ht="18.0" customHeight="1">
      <c r="A1" s="30" t="s">
        <v>126</v>
      </c>
      <c r="B1" s="31"/>
      <c r="C1" s="31"/>
      <c r="D1" s="31"/>
      <c r="E1" s="31"/>
      <c r="F1" s="31"/>
      <c r="G1" s="31"/>
      <c r="H1" s="31"/>
      <c r="I1" s="31"/>
      <c r="J1" s="33"/>
    </row>
    <row r="2" ht="9.75" customHeight="1">
      <c r="A2" s="35"/>
      <c r="J2" s="37"/>
    </row>
    <row r="3" ht="9.75" customHeight="1">
      <c r="A3" s="38"/>
      <c r="B3" s="39"/>
      <c r="C3" s="39"/>
      <c r="D3" s="39"/>
      <c r="E3" s="39"/>
      <c r="F3" s="39"/>
      <c r="G3" s="39"/>
      <c r="H3" s="39"/>
      <c r="I3" s="39"/>
      <c r="J3" s="41"/>
    </row>
    <row r="4" ht="19.5" customHeight="1">
      <c r="A4" s="44" t="s">
        <v>134</v>
      </c>
      <c r="B4" s="45"/>
      <c r="C4" s="45"/>
      <c r="D4" s="45"/>
      <c r="E4" s="45"/>
      <c r="F4" s="45"/>
      <c r="G4" s="45"/>
      <c r="H4" s="45"/>
      <c r="I4" s="45"/>
      <c r="J4" s="47"/>
    </row>
    <row r="5" ht="14.25" customHeight="1"/>
    <row r="6" ht="21.75" customHeight="1">
      <c r="A6" s="48" t="s">
        <v>137</v>
      </c>
    </row>
    <row r="7" ht="27.75" customHeight="1">
      <c r="B7" s="49" t="s">
        <v>139</v>
      </c>
      <c r="C7" s="49" t="s">
        <v>142</v>
      </c>
      <c r="D7" s="49" t="s">
        <v>143</v>
      </c>
      <c r="E7" s="49" t="s">
        <v>145</v>
      </c>
      <c r="F7" s="49" t="s">
        <v>147</v>
      </c>
      <c r="G7" s="49" t="s">
        <v>149</v>
      </c>
      <c r="H7" s="49" t="s">
        <v>150</v>
      </c>
      <c r="I7" s="49" t="s">
        <v>39</v>
      </c>
      <c r="J7" s="49" t="s">
        <v>151</v>
      </c>
    </row>
    <row r="8" ht="30.0" customHeight="1">
      <c r="B8" s="50" t="s">
        <v>46</v>
      </c>
      <c r="C8" s="52">
        <f>Indicators!C8</f>
        <v>2.463106705</v>
      </c>
      <c r="D8" s="52">
        <f>Indicators!D8</f>
        <v>1.774436616</v>
      </c>
      <c r="E8" s="55">
        <f>Indicators!K8</f>
        <v>74.86299201</v>
      </c>
      <c r="F8" s="52">
        <f>Indicators!L8</f>
        <v>47.33003534</v>
      </c>
      <c r="G8" s="52">
        <f>Indicators!M8</f>
        <v>1.307820889</v>
      </c>
      <c r="H8" s="52">
        <f>Indicators!N8</f>
        <v>0.9650379396</v>
      </c>
      <c r="I8" s="52">
        <f>Indicators!O8</f>
        <v>17.53207012</v>
      </c>
      <c r="J8" s="58" t="str">
        <f>Scorecard!J5</f>
        <v>Healthy</v>
      </c>
    </row>
    <row r="9" ht="30.0" customHeight="1">
      <c r="B9" s="59" t="s">
        <v>93</v>
      </c>
      <c r="C9" s="52">
        <f>Indicators!C12</f>
        <v>2.184999837</v>
      </c>
      <c r="D9" s="52">
        <f>Indicators!D12</f>
        <v>1.146024247</v>
      </c>
      <c r="E9" s="55">
        <f>Indicators!K12</f>
        <v>81.15551932</v>
      </c>
      <c r="F9" s="52">
        <f>Indicators!L12</f>
        <v>33.63618421</v>
      </c>
      <c r="G9" s="52">
        <f>Indicators!M12</f>
        <v>1.385146639</v>
      </c>
      <c r="H9" s="52">
        <f>Indicators!N12</f>
        <v>0.6565629216</v>
      </c>
      <c r="I9" s="52">
        <f>Indicators!O12</f>
        <v>17.6914824</v>
      </c>
      <c r="J9" s="58" t="str">
        <f>Scorecard!J6</f>
        <v>Healthy</v>
      </c>
    </row>
    <row r="10" ht="30.0" customHeight="1">
      <c r="B10" s="61" t="s">
        <v>98</v>
      </c>
      <c r="C10" s="52">
        <f>Indicators!C16</f>
        <v>3.747668854</v>
      </c>
      <c r="D10" s="52">
        <f>Indicators!D16</f>
        <v>2.751186432</v>
      </c>
      <c r="E10" s="55">
        <f>Indicators!K16</f>
        <v>95.52734927</v>
      </c>
      <c r="F10" s="52">
        <f>Indicators!L16</f>
        <v>49.82726779</v>
      </c>
      <c r="G10" s="52">
        <f>Indicators!M16</f>
        <v>1.618382689</v>
      </c>
      <c r="H10" s="52">
        <f>Indicators!N16</f>
        <v>0.5909464087</v>
      </c>
      <c r="I10" s="52">
        <f>Indicators!O16</f>
        <v>9.374902878</v>
      </c>
      <c r="J10" s="58" t="str">
        <f>Scorecard!J7</f>
        <v>Healthy</v>
      </c>
    </row>
    <row r="11" ht="14.25" customHeight="1"/>
    <row r="12" ht="14.25" customHeight="1"/>
    <row r="13" ht="14.25" customHeight="1"/>
    <row r="14" ht="14.25" customHeight="1"/>
    <row r="15" ht="14.25" customHeight="1"/>
    <row r="16" ht="14.25" customHeight="1"/>
    <row r="17" ht="14.25" customHeight="1"/>
    <row r="18" ht="14.25" customHeight="1"/>
    <row r="19" ht="21.75" customHeight="1">
      <c r="A19" s="48" t="s">
        <v>165</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21.75" customHeight="1">
      <c r="A57" s="48" t="s">
        <v>166</v>
      </c>
    </row>
    <row r="58" ht="27.75" customHeight="1">
      <c r="C58" s="65" t="s">
        <v>167</v>
      </c>
      <c r="D58" s="65" t="s">
        <v>168</v>
      </c>
      <c r="E58" s="65" t="s">
        <v>169</v>
      </c>
      <c r="F58" s="65" t="s">
        <v>170</v>
      </c>
      <c r="G58" s="65" t="s">
        <v>171</v>
      </c>
      <c r="H58" s="65" t="s">
        <v>150</v>
      </c>
      <c r="I58" s="65" t="s">
        <v>172</v>
      </c>
    </row>
    <row r="59" ht="19.5" customHeight="1">
      <c r="B59" s="67" t="s">
        <v>46</v>
      </c>
      <c r="C59" s="69" t="str">
        <f>Scorecard!B5</f>
        <v>ok</v>
      </c>
      <c r="D59" s="69" t="str">
        <f>Scorecard!C5</f>
        <v>ok</v>
      </c>
      <c r="E59" s="69" t="str">
        <f>Scorecard!D5</f>
        <v>ok</v>
      </c>
      <c r="F59" s="69" t="str">
        <f>Scorecard!E5</f>
        <v>ok</v>
      </c>
      <c r="G59" s="69" t="str">
        <f>Scorecard!F5</f>
        <v>ok</v>
      </c>
      <c r="H59" s="69" t="str">
        <f>Scorecard!G5</f>
        <v>ok</v>
      </c>
      <c r="I59" s="69" t="str">
        <f>Scorecard!H5</f>
        <v>ok</v>
      </c>
    </row>
    <row r="60" ht="19.5" customHeight="1">
      <c r="B60" s="67" t="s">
        <v>93</v>
      </c>
      <c r="C60" s="69" t="str">
        <f>Scorecard!B6</f>
        <v>ok</v>
      </c>
      <c r="D60" s="69" t="str">
        <f>Scorecard!C6</f>
        <v>ok</v>
      </c>
      <c r="E60" s="69" t="str">
        <f>Scorecard!D6</f>
        <v>ok</v>
      </c>
      <c r="F60" s="69" t="str">
        <f>Scorecard!E6</f>
        <v>ok</v>
      </c>
      <c r="G60" s="69" t="str">
        <f>Scorecard!F6</f>
        <v>ok</v>
      </c>
      <c r="H60" s="69" t="str">
        <f>Scorecard!G6</f>
        <v>ok</v>
      </c>
      <c r="I60" s="69" t="str">
        <f>Scorecard!H6</f>
        <v>ok</v>
      </c>
    </row>
    <row r="61" ht="19.5" customHeight="1">
      <c r="B61" s="67" t="s">
        <v>98</v>
      </c>
      <c r="C61" s="69" t="str">
        <f>Scorecard!B7</f>
        <v>ok</v>
      </c>
      <c r="D61" s="69" t="str">
        <f>Scorecard!C7</f>
        <v>ok</v>
      </c>
      <c r="E61" s="69" t="str">
        <f>Scorecard!D7</f>
        <v>ok</v>
      </c>
      <c r="F61" s="69" t="str">
        <f>Scorecard!E7</f>
        <v>ok</v>
      </c>
      <c r="G61" s="69" t="str">
        <f>Scorecard!F7</f>
        <v>ok</v>
      </c>
      <c r="H61" s="69" t="str">
        <f>Scorecard!G7</f>
        <v>ok</v>
      </c>
      <c r="I61" s="69" t="str">
        <f>Scorecard!H7</f>
        <v>ok</v>
      </c>
    </row>
    <row r="62" ht="14.25" customHeight="1"/>
    <row r="63" ht="15.0" customHeight="1">
      <c r="B63" s="71" t="s">
        <v>174</v>
      </c>
      <c r="C63" s="72" t="s">
        <v>175</v>
      </c>
      <c r="D63" s="73" t="s">
        <v>176</v>
      </c>
      <c r="E63" s="74" t="s">
        <v>177</v>
      </c>
    </row>
    <row r="64" ht="14.25" customHeight="1"/>
    <row r="65" ht="14.25" customHeight="1"/>
    <row r="66" ht="14.25" customHeight="1"/>
    <row r="67" ht="21.75" customHeight="1">
      <c r="A67" s="48" t="s">
        <v>178</v>
      </c>
    </row>
    <row r="68" ht="14.25" customHeight="1"/>
    <row r="69" ht="19.5" customHeight="1">
      <c r="B69" s="75" t="s">
        <v>46</v>
      </c>
      <c r="C69" s="45"/>
      <c r="D69" s="45"/>
      <c r="E69" s="45"/>
      <c r="F69" s="45"/>
      <c r="G69" s="45"/>
      <c r="H69" s="45"/>
      <c r="I69" s="45"/>
      <c r="J69" s="47"/>
    </row>
    <row r="70" ht="15.75" customHeight="1">
      <c r="B70" s="76" t="s">
        <v>179</v>
      </c>
      <c r="C70" s="31"/>
      <c r="D70" s="31"/>
      <c r="E70" s="31"/>
      <c r="F70" s="31"/>
      <c r="G70" s="31"/>
      <c r="H70" s="31"/>
      <c r="I70" s="31"/>
      <c r="J70" s="33"/>
    </row>
    <row r="71" ht="15.75" customHeight="1">
      <c r="B71" s="35"/>
      <c r="J71" s="37"/>
    </row>
    <row r="72" ht="15.75" customHeight="1">
      <c r="B72" s="35"/>
      <c r="J72" s="37"/>
    </row>
    <row r="73" ht="15.75" customHeight="1">
      <c r="B73" s="38"/>
      <c r="C73" s="39"/>
      <c r="D73" s="39"/>
      <c r="E73" s="39"/>
      <c r="F73" s="39"/>
      <c r="G73" s="39"/>
      <c r="H73" s="39"/>
      <c r="I73" s="39"/>
      <c r="J73" s="41"/>
    </row>
    <row r="74" ht="14.25" customHeight="1"/>
    <row r="75" ht="19.5" customHeight="1">
      <c r="B75" s="77" t="s">
        <v>93</v>
      </c>
      <c r="C75" s="45"/>
      <c r="D75" s="45"/>
      <c r="E75" s="45"/>
      <c r="F75" s="45"/>
      <c r="G75" s="45"/>
      <c r="H75" s="45"/>
      <c r="I75" s="45"/>
      <c r="J75" s="47"/>
    </row>
    <row r="76" ht="15.75" customHeight="1">
      <c r="B76" s="76" t="s">
        <v>180</v>
      </c>
      <c r="C76" s="31"/>
      <c r="D76" s="31"/>
      <c r="E76" s="31"/>
      <c r="F76" s="31"/>
      <c r="G76" s="31"/>
      <c r="H76" s="31"/>
      <c r="I76" s="31"/>
      <c r="J76" s="33"/>
    </row>
    <row r="77" ht="15.75" customHeight="1">
      <c r="B77" s="35"/>
      <c r="J77" s="37"/>
    </row>
    <row r="78" ht="15.75" customHeight="1">
      <c r="B78" s="35"/>
      <c r="J78" s="37"/>
    </row>
    <row r="79" ht="15.75" customHeight="1">
      <c r="B79" s="38"/>
      <c r="C79" s="39"/>
      <c r="D79" s="39"/>
      <c r="E79" s="39"/>
      <c r="F79" s="39"/>
      <c r="G79" s="39"/>
      <c r="H79" s="39"/>
      <c r="I79" s="39"/>
      <c r="J79" s="41"/>
    </row>
    <row r="80" ht="14.25" customHeight="1"/>
    <row r="81" ht="19.5" customHeight="1">
      <c r="B81" s="79" t="s">
        <v>98</v>
      </c>
      <c r="C81" s="45"/>
      <c r="D81" s="45"/>
      <c r="E81" s="45"/>
      <c r="F81" s="45"/>
      <c r="G81" s="45"/>
      <c r="H81" s="45"/>
      <c r="I81" s="45"/>
      <c r="J81" s="47"/>
    </row>
    <row r="82" ht="15.75" customHeight="1">
      <c r="B82" s="76" t="s">
        <v>183</v>
      </c>
      <c r="C82" s="31"/>
      <c r="D82" s="31"/>
      <c r="E82" s="31"/>
      <c r="F82" s="31"/>
      <c r="G82" s="31"/>
      <c r="H82" s="31"/>
      <c r="I82" s="31"/>
      <c r="J82" s="33"/>
    </row>
    <row r="83" ht="15.75" customHeight="1">
      <c r="B83" s="35"/>
      <c r="J83" s="37"/>
    </row>
    <row r="84" ht="15.75" customHeight="1">
      <c r="B84" s="35"/>
      <c r="J84" s="37"/>
    </row>
    <row r="85" ht="15.75" customHeight="1">
      <c r="B85" s="38"/>
      <c r="C85" s="39"/>
      <c r="D85" s="39"/>
      <c r="E85" s="39"/>
      <c r="F85" s="39"/>
      <c r="G85" s="39"/>
      <c r="H85" s="39"/>
      <c r="I85" s="39"/>
      <c r="J85" s="41"/>
    </row>
    <row r="86" ht="14.25" customHeight="1"/>
    <row r="87" ht="21.75" customHeight="1">
      <c r="A87" s="48"/>
      <c r="B87" s="81" t="s">
        <v>184</v>
      </c>
      <c r="C87" s="45"/>
      <c r="D87" s="45"/>
      <c r="E87" s="45"/>
      <c r="F87" s="45"/>
      <c r="G87" s="45"/>
      <c r="H87" s="45"/>
      <c r="I87" s="45"/>
      <c r="J87" s="47"/>
    </row>
    <row r="88" ht="15.75" customHeight="1">
      <c r="B88" s="83" t="s">
        <v>185</v>
      </c>
      <c r="C88" s="31"/>
      <c r="D88" s="31"/>
      <c r="E88" s="31"/>
      <c r="F88" s="31"/>
      <c r="G88" s="31"/>
      <c r="H88" s="31"/>
      <c r="I88" s="31"/>
      <c r="J88" s="33"/>
    </row>
    <row r="89" ht="15.75" customHeight="1">
      <c r="B89" s="35"/>
      <c r="J89" s="37"/>
    </row>
    <row r="90" ht="15.75" customHeight="1">
      <c r="B90" s="35"/>
      <c r="J90" s="37"/>
    </row>
    <row r="91" ht="15.75" customHeight="1">
      <c r="B91" s="35"/>
      <c r="J91" s="37"/>
    </row>
    <row r="92" ht="15.75" customHeight="1">
      <c r="B92" s="38"/>
      <c r="C92" s="39"/>
      <c r="D92" s="39"/>
      <c r="E92" s="39"/>
      <c r="F92" s="39"/>
      <c r="G92" s="39"/>
      <c r="H92" s="39"/>
      <c r="I92" s="39"/>
      <c r="J92" s="41"/>
    </row>
    <row r="93" ht="14.25" customHeight="1"/>
    <row r="94" ht="24.0" customHeight="1">
      <c r="A94" s="71"/>
    </row>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B70:J73"/>
    <mergeCell ref="B75:J75"/>
    <mergeCell ref="B76:J79"/>
    <mergeCell ref="B81:J81"/>
    <mergeCell ref="B82:J85"/>
    <mergeCell ref="B87:J87"/>
    <mergeCell ref="B88:J92"/>
    <mergeCell ref="A94:J94"/>
    <mergeCell ref="A1:J3"/>
    <mergeCell ref="A4:J4"/>
    <mergeCell ref="A6:J6"/>
    <mergeCell ref="A19:J19"/>
    <mergeCell ref="A57:J57"/>
    <mergeCell ref="A67:J67"/>
    <mergeCell ref="B69:J69"/>
  </mergeCells>
  <conditionalFormatting sqref="C59:I61">
    <cfRule type="cellIs" dxfId="3" priority="1" operator="equal">
      <formula>"RED"</formula>
    </cfRule>
  </conditionalFormatting>
  <conditionalFormatting sqref="C59:I61">
    <cfRule type="cellIs" dxfId="4" priority="2" operator="equal">
      <formula>"amber"</formula>
    </cfRule>
  </conditionalFormatting>
  <conditionalFormatting sqref="C59:I61">
    <cfRule type="cellIs" dxfId="5" priority="3" operator="equal">
      <formula>"ok"</formula>
    </cfRule>
  </conditionalFormatting>
  <printOptions/>
  <pageMargins bottom="0.4" footer="0.0" header="0.0" left="0.3" right="0.3" top="0.4"/>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30.0"/>
    <col customWidth="1" min="3" max="3" width="24.0"/>
    <col customWidth="1" min="4" max="4" width="48.0"/>
    <col customWidth="1" min="5" max="26" width="8.71"/>
  </cols>
  <sheetData>
    <row r="1" ht="17.25" customHeight="1">
      <c r="A1" s="1" t="s">
        <v>2</v>
      </c>
    </row>
    <row r="2" ht="15.0" customHeight="1">
      <c r="A2" s="2" t="s">
        <v>4</v>
      </c>
    </row>
    <row r="3" ht="14.25" customHeight="1"/>
    <row r="4" ht="15.0" customHeight="1">
      <c r="A4" s="3" t="s">
        <v>6</v>
      </c>
    </row>
    <row r="5" ht="15.0" customHeight="1">
      <c r="A5" s="4" t="s">
        <v>8</v>
      </c>
      <c r="B5" s="4" t="s">
        <v>10</v>
      </c>
      <c r="C5" s="4" t="s">
        <v>13</v>
      </c>
      <c r="D5" s="4" t="s">
        <v>16</v>
      </c>
    </row>
    <row r="6" ht="21.75" customHeight="1">
      <c r="A6" s="5" t="s">
        <v>22</v>
      </c>
      <c r="B6" s="6" t="s">
        <v>37</v>
      </c>
      <c r="C6" s="6" t="s">
        <v>44</v>
      </c>
      <c r="D6" s="6" t="s">
        <v>45</v>
      </c>
    </row>
    <row r="7" ht="15.0" customHeight="1">
      <c r="A7" s="8" t="s">
        <v>47</v>
      </c>
      <c r="B7" s="10" t="s">
        <v>49</v>
      </c>
      <c r="C7" s="10" t="s">
        <v>50</v>
      </c>
      <c r="D7" s="10" t="s">
        <v>51</v>
      </c>
    </row>
    <row r="8" ht="21.75" customHeight="1">
      <c r="A8" s="5" t="s">
        <v>52</v>
      </c>
      <c r="B8" s="6" t="s">
        <v>53</v>
      </c>
      <c r="C8" s="6" t="s">
        <v>54</v>
      </c>
      <c r="D8" s="6" t="s">
        <v>55</v>
      </c>
    </row>
    <row r="9" ht="21.75" customHeight="1">
      <c r="A9" s="8" t="s">
        <v>56</v>
      </c>
      <c r="B9" s="10" t="s">
        <v>57</v>
      </c>
      <c r="C9" s="10" t="s">
        <v>58</v>
      </c>
      <c r="D9" s="10" t="s">
        <v>59</v>
      </c>
    </row>
    <row r="10" ht="21.75" customHeight="1">
      <c r="A10" s="5" t="s">
        <v>60</v>
      </c>
      <c r="B10" s="6" t="s">
        <v>61</v>
      </c>
      <c r="C10" s="6" t="s">
        <v>62</v>
      </c>
      <c r="D10" s="6" t="s">
        <v>64</v>
      </c>
    </row>
    <row r="11" ht="21.75" customHeight="1">
      <c r="A11" s="8" t="s">
        <v>65</v>
      </c>
      <c r="B11" s="10" t="s">
        <v>66</v>
      </c>
      <c r="C11" s="10" t="s">
        <v>67</v>
      </c>
      <c r="D11" s="10" t="s">
        <v>68</v>
      </c>
    </row>
    <row r="12" ht="15.0" customHeight="1">
      <c r="A12" s="5" t="s">
        <v>69</v>
      </c>
      <c r="B12" s="6" t="s">
        <v>70</v>
      </c>
      <c r="C12" s="6" t="s">
        <v>72</v>
      </c>
      <c r="D12" s="6" t="s">
        <v>73</v>
      </c>
    </row>
    <row r="13" ht="21.75" customHeight="1">
      <c r="A13" s="8" t="s">
        <v>74</v>
      </c>
      <c r="B13" s="10" t="s">
        <v>75</v>
      </c>
      <c r="C13" s="10" t="s">
        <v>76</v>
      </c>
      <c r="D13" s="10" t="s">
        <v>77</v>
      </c>
    </row>
    <row r="14" ht="15.0" customHeight="1">
      <c r="A14" s="5" t="s">
        <v>78</v>
      </c>
      <c r="B14" s="6" t="s">
        <v>79</v>
      </c>
      <c r="C14" s="6" t="s">
        <v>80</v>
      </c>
      <c r="D14" s="6" t="s">
        <v>81</v>
      </c>
    </row>
    <row r="15" ht="15.0" customHeight="1">
      <c r="A15" s="8" t="s">
        <v>82</v>
      </c>
      <c r="B15" s="10" t="s">
        <v>83</v>
      </c>
      <c r="C15" s="10" t="s">
        <v>84</v>
      </c>
      <c r="D15" s="10" t="s">
        <v>85</v>
      </c>
    </row>
    <row r="16" ht="21.75" customHeight="1">
      <c r="A16" s="5" t="s">
        <v>87</v>
      </c>
      <c r="B16" s="6" t="s">
        <v>88</v>
      </c>
      <c r="C16" s="6" t="s">
        <v>89</v>
      </c>
      <c r="D16" s="6" t="s">
        <v>90</v>
      </c>
    </row>
    <row r="17" ht="14.25" customHeight="1"/>
    <row r="18" ht="43.5" customHeight="1">
      <c r="A18" s="3" t="s">
        <v>91</v>
      </c>
      <c r="B18" s="13" t="s">
        <v>92</v>
      </c>
    </row>
    <row r="19" ht="15.0" customHeight="1">
      <c r="A19" s="3" t="s">
        <v>94</v>
      </c>
      <c r="B19" s="16" t="s">
        <v>95</v>
      </c>
    </row>
    <row r="20" ht="15.0" customHeight="1">
      <c r="A20" s="3" t="s">
        <v>96</v>
      </c>
      <c r="B20" s="16" t="s">
        <v>97</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18:D18"/>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4.0"/>
    <col customWidth="1" min="2" max="2" width="7.0"/>
    <col customWidth="1" min="3" max="18" width="11.0"/>
    <col customWidth="1" min="19" max="26" width="8.71"/>
  </cols>
  <sheetData>
    <row r="1" ht="17.25" customHeight="1">
      <c r="A1" s="1" t="s">
        <v>1</v>
      </c>
    </row>
    <row r="2" ht="15.0" customHeight="1">
      <c r="A2" s="2" t="s">
        <v>5</v>
      </c>
    </row>
    <row r="3" ht="14.25" customHeight="1"/>
    <row r="4" ht="15.0" customHeight="1">
      <c r="A4" s="4" t="s">
        <v>7</v>
      </c>
      <c r="B4" s="4" t="s">
        <v>9</v>
      </c>
      <c r="C4" s="4" t="s">
        <v>12</v>
      </c>
      <c r="D4" s="4" t="s">
        <v>15</v>
      </c>
      <c r="E4" s="4" t="s">
        <v>17</v>
      </c>
      <c r="F4" s="4" t="s">
        <v>19</v>
      </c>
      <c r="G4" s="4" t="s">
        <v>20</v>
      </c>
      <c r="H4" s="4" t="s">
        <v>24</v>
      </c>
      <c r="I4" s="4" t="s">
        <v>26</v>
      </c>
      <c r="J4" s="4" t="s">
        <v>28</v>
      </c>
      <c r="K4" s="4" t="s">
        <v>29</v>
      </c>
      <c r="L4" s="4" t="s">
        <v>31</v>
      </c>
      <c r="M4" s="4" t="s">
        <v>33</v>
      </c>
      <c r="N4" s="4" t="s">
        <v>35</v>
      </c>
      <c r="O4" s="4" t="s">
        <v>38</v>
      </c>
      <c r="P4" s="4" t="s">
        <v>40</v>
      </c>
      <c r="Q4" s="4" t="s">
        <v>41</v>
      </c>
      <c r="R4" s="4" t="s">
        <v>42</v>
      </c>
    </row>
    <row r="5" ht="15.0" customHeight="1">
      <c r="A5" s="7" t="s">
        <v>46</v>
      </c>
      <c r="B5" s="9" t="s">
        <v>48</v>
      </c>
      <c r="C5" s="11">
        <v>13875.73</v>
      </c>
      <c r="D5" s="11">
        <v>156.44</v>
      </c>
      <c r="E5" s="11">
        <v>5321.79</v>
      </c>
      <c r="F5" s="11">
        <v>3462.61</v>
      </c>
      <c r="G5" s="11">
        <v>5831.46</v>
      </c>
      <c r="H5" s="11">
        <v>3045.86</v>
      </c>
      <c r="I5" s="11">
        <v>22529.84</v>
      </c>
      <c r="J5" s="11">
        <v>6944.28</v>
      </c>
      <c r="K5" s="11">
        <v>15489.64</v>
      </c>
      <c r="L5" s="11">
        <v>30078.4</v>
      </c>
      <c r="M5" s="11">
        <v>18327.54</v>
      </c>
      <c r="N5" s="11">
        <v>5582.66</v>
      </c>
      <c r="O5" s="11">
        <v>6338.49</v>
      </c>
      <c r="P5" s="11">
        <v>93.06</v>
      </c>
      <c r="Q5" s="11">
        <v>4221.65</v>
      </c>
      <c r="R5" s="11">
        <v>253820.0</v>
      </c>
    </row>
    <row r="6" ht="15.0" customHeight="1">
      <c r="A6" s="7" t="s">
        <v>46</v>
      </c>
      <c r="B6" s="9" t="s">
        <v>63</v>
      </c>
      <c r="C6" s="11">
        <v>14553.21</v>
      </c>
      <c r="D6" s="11">
        <v>325.96</v>
      </c>
      <c r="E6" s="11">
        <v>5074.76</v>
      </c>
      <c r="F6" s="11">
        <v>3633.45</v>
      </c>
      <c r="G6" s="11">
        <v>6221.01</v>
      </c>
      <c r="H6" s="11">
        <v>3238.83</v>
      </c>
      <c r="I6" s="11">
        <v>25981.9</v>
      </c>
      <c r="J6" s="11">
        <v>7556.81</v>
      </c>
      <c r="K6" s="11">
        <v>18329.17</v>
      </c>
      <c r="L6" s="11">
        <v>30850.12</v>
      </c>
      <c r="M6" s="11">
        <v>17219.39</v>
      </c>
      <c r="N6" s="11">
        <v>7120.46</v>
      </c>
      <c r="O6" s="11">
        <v>7854.95</v>
      </c>
      <c r="P6" s="11">
        <v>115.42</v>
      </c>
      <c r="Q6" s="11">
        <v>5737.84</v>
      </c>
      <c r="R6" s="11">
        <v>276404.0</v>
      </c>
    </row>
    <row r="7" ht="15.0" customHeight="1">
      <c r="A7" s="7" t="s">
        <v>46</v>
      </c>
      <c r="B7" s="9" t="s">
        <v>71</v>
      </c>
      <c r="C7" s="11">
        <v>14341.94</v>
      </c>
      <c r="D7" s="11">
        <v>178.41</v>
      </c>
      <c r="E7" s="11">
        <v>5848.23</v>
      </c>
      <c r="F7" s="11">
        <v>3197.55</v>
      </c>
      <c r="G7" s="11">
        <v>6234.29</v>
      </c>
      <c r="H7" s="11">
        <v>3123.69</v>
      </c>
      <c r="I7" s="11">
        <v>26675.48</v>
      </c>
      <c r="J7" s="11">
        <v>7687.73</v>
      </c>
      <c r="K7" s="11">
        <v>18891.83</v>
      </c>
      <c r="L7" s="11">
        <v>29552.65</v>
      </c>
      <c r="M7" s="11">
        <v>16791.84</v>
      </c>
      <c r="N7" s="11">
        <v>5425.0</v>
      </c>
      <c r="O7" s="11">
        <v>6326.85</v>
      </c>
      <c r="P7" s="11">
        <v>143.77</v>
      </c>
      <c r="Q7" s="11">
        <v>4124.02</v>
      </c>
      <c r="R7" s="11">
        <v>220616.0</v>
      </c>
    </row>
    <row r="8" ht="15.0" customHeight="1">
      <c r="A8" s="7" t="s">
        <v>46</v>
      </c>
      <c r="B8" s="9" t="s">
        <v>86</v>
      </c>
      <c r="C8" s="11">
        <v>17256.23</v>
      </c>
      <c r="D8" s="11">
        <v>395.38</v>
      </c>
      <c r="E8" s="11">
        <v>4824.74</v>
      </c>
      <c r="F8" s="11">
        <v>3227.71</v>
      </c>
      <c r="G8" s="11">
        <v>7005.88</v>
      </c>
      <c r="H8" s="11">
        <v>3114.48</v>
      </c>
      <c r="I8" s="11">
        <v>30084.26</v>
      </c>
      <c r="J8" s="11">
        <v>9302.7</v>
      </c>
      <c r="K8" s="11">
        <v>20685.64</v>
      </c>
      <c r="L8" s="11">
        <v>30769.48</v>
      </c>
      <c r="M8" s="11">
        <v>17067.72</v>
      </c>
      <c r="N8" s="11">
        <v>6027.48</v>
      </c>
      <c r="O8" s="11">
        <v>7113.13</v>
      </c>
      <c r="P8" s="11">
        <v>127.35</v>
      </c>
      <c r="Q8" s="11">
        <v>6760.94</v>
      </c>
      <c r="R8" s="11">
        <v>224453.0</v>
      </c>
    </row>
    <row r="9" ht="15.0" customHeight="1">
      <c r="A9" s="12" t="s">
        <v>93</v>
      </c>
      <c r="B9" s="14" t="s">
        <v>48</v>
      </c>
      <c r="C9" s="15">
        <v>3600.21</v>
      </c>
      <c r="D9" s="15">
        <v>56.87</v>
      </c>
      <c r="E9" s="15">
        <v>2146.1</v>
      </c>
      <c r="F9" s="15">
        <v>970.8</v>
      </c>
      <c r="G9" s="15">
        <v>2696.03</v>
      </c>
      <c r="H9" s="15">
        <v>1674.34</v>
      </c>
      <c r="I9" s="15">
        <v>7400.09</v>
      </c>
      <c r="J9" s="15">
        <v>3104.9</v>
      </c>
      <c r="K9" s="15">
        <v>4198.05</v>
      </c>
      <c r="L9" s="15">
        <v>9470.62</v>
      </c>
      <c r="M9" s="15">
        <v>6087.12</v>
      </c>
      <c r="N9" s="15">
        <v>1189.0</v>
      </c>
      <c r="O9" s="15">
        <v>1423.0</v>
      </c>
      <c r="P9" s="15">
        <v>86.28</v>
      </c>
      <c r="Q9" s="15">
        <v>934.29</v>
      </c>
      <c r="R9" s="15">
        <v>63141.0</v>
      </c>
    </row>
    <row r="10" ht="15.0" customHeight="1">
      <c r="A10" s="12" t="s">
        <v>93</v>
      </c>
      <c r="B10" s="14" t="s">
        <v>63</v>
      </c>
      <c r="C10" s="15">
        <v>3623.87</v>
      </c>
      <c r="D10" s="15">
        <v>151.2</v>
      </c>
      <c r="E10" s="15">
        <v>2019.43</v>
      </c>
      <c r="F10" s="15">
        <v>979.39</v>
      </c>
      <c r="G10" s="15">
        <v>2036.27</v>
      </c>
      <c r="H10" s="15">
        <v>1567.19</v>
      </c>
      <c r="I10" s="15">
        <v>7581.66</v>
      </c>
      <c r="J10" s="15">
        <v>2576.42</v>
      </c>
      <c r="K10" s="15">
        <v>4888.66</v>
      </c>
      <c r="L10" s="15">
        <v>10002.93</v>
      </c>
      <c r="M10" s="15">
        <v>6003.31</v>
      </c>
      <c r="N10" s="15">
        <v>1432.12</v>
      </c>
      <c r="O10" s="15">
        <v>1729.11</v>
      </c>
      <c r="P10" s="15">
        <v>64.66</v>
      </c>
      <c r="Q10" s="15">
        <v>1482.9</v>
      </c>
      <c r="R10" s="15">
        <v>58873.0</v>
      </c>
    </row>
    <row r="11" ht="15.0" customHeight="1">
      <c r="A11" s="12" t="s">
        <v>93</v>
      </c>
      <c r="B11" s="14" t="s">
        <v>71</v>
      </c>
      <c r="C11" s="15">
        <v>4133.8</v>
      </c>
      <c r="D11" s="15">
        <v>141.39</v>
      </c>
      <c r="E11" s="15">
        <v>2206.6</v>
      </c>
      <c r="F11" s="15">
        <v>1124.37</v>
      </c>
      <c r="G11" s="15">
        <v>1985.76</v>
      </c>
      <c r="H11" s="15">
        <v>1569.34</v>
      </c>
      <c r="I11" s="15">
        <v>8176.51</v>
      </c>
      <c r="J11" s="15">
        <v>2495.45</v>
      </c>
      <c r="K11" s="15">
        <v>5564.47</v>
      </c>
      <c r="L11" s="15">
        <v>10169.22</v>
      </c>
      <c r="M11" s="15">
        <v>6088.59</v>
      </c>
      <c r="N11" s="15">
        <v>1478.6</v>
      </c>
      <c r="O11" s="15">
        <v>1796.35</v>
      </c>
      <c r="P11" s="15">
        <v>47.86</v>
      </c>
      <c r="Q11" s="15">
        <v>1118.83</v>
      </c>
      <c r="R11" s="15">
        <v>55963.0</v>
      </c>
    </row>
    <row r="12" ht="15.0" customHeight="1">
      <c r="A12" s="12" t="s">
        <v>93</v>
      </c>
      <c r="B12" s="14" t="s">
        <v>86</v>
      </c>
      <c r="C12" s="15">
        <v>4680.51</v>
      </c>
      <c r="D12" s="15">
        <v>151.94</v>
      </c>
      <c r="E12" s="15">
        <v>2225.6</v>
      </c>
      <c r="F12" s="15">
        <v>1129.27</v>
      </c>
      <c r="G12" s="15">
        <v>2142.11</v>
      </c>
      <c r="H12" s="15">
        <v>1522.26</v>
      </c>
      <c r="I12" s="15">
        <v>8946.2</v>
      </c>
      <c r="J12" s="15">
        <v>2603.3</v>
      </c>
      <c r="K12" s="15">
        <v>6226.3</v>
      </c>
      <c r="L12" s="15">
        <v>10420.1</v>
      </c>
      <c r="M12" s="15">
        <v>6171.29</v>
      </c>
      <c r="N12" s="15">
        <v>1533.81</v>
      </c>
      <c r="O12" s="15">
        <v>1879.44</v>
      </c>
      <c r="P12" s="15">
        <v>45.6</v>
      </c>
      <c r="Q12" s="15">
        <v>1406.43</v>
      </c>
      <c r="R12" s="15">
        <v>63547.0</v>
      </c>
    </row>
    <row r="13" ht="15.0" customHeight="1">
      <c r="A13" s="7" t="s">
        <v>98</v>
      </c>
      <c r="B13" s="9" t="s">
        <v>48</v>
      </c>
      <c r="C13" s="11">
        <v>3562.07</v>
      </c>
      <c r="D13" s="11">
        <v>90.22</v>
      </c>
      <c r="E13" s="11">
        <v>1648.02</v>
      </c>
      <c r="F13" s="11">
        <v>1117.15</v>
      </c>
      <c r="G13" s="11">
        <v>1250.59</v>
      </c>
      <c r="H13" s="11">
        <v>937.51</v>
      </c>
      <c r="I13" s="11">
        <v>6075.13</v>
      </c>
      <c r="J13" s="11">
        <v>1467.75</v>
      </c>
      <c r="K13" s="11">
        <v>4553.49</v>
      </c>
      <c r="L13" s="11">
        <v>7081.02</v>
      </c>
      <c r="M13" s="11">
        <v>4955.34</v>
      </c>
      <c r="N13" s="11">
        <v>660.09</v>
      </c>
      <c r="O13" s="11">
        <v>824.72</v>
      </c>
      <c r="P13" s="11">
        <v>9.73</v>
      </c>
      <c r="Q13" s="11">
        <v>386.19</v>
      </c>
      <c r="R13" s="11">
        <v>27486.0</v>
      </c>
    </row>
    <row r="14" ht="15.0" customHeight="1">
      <c r="A14" s="7" t="s">
        <v>98</v>
      </c>
      <c r="B14" s="9" t="s">
        <v>63</v>
      </c>
      <c r="C14" s="11">
        <v>4578.1</v>
      </c>
      <c r="D14" s="11">
        <v>162.37</v>
      </c>
      <c r="E14" s="11">
        <v>1616.04</v>
      </c>
      <c r="F14" s="11">
        <v>1215.25</v>
      </c>
      <c r="G14" s="11">
        <v>1314.51</v>
      </c>
      <c r="H14" s="11">
        <v>1024.24</v>
      </c>
      <c r="I14" s="11">
        <v>7224.8</v>
      </c>
      <c r="J14" s="11">
        <v>1571.68</v>
      </c>
      <c r="K14" s="11">
        <v>5572.28</v>
      </c>
      <c r="L14" s="11">
        <v>7393.3</v>
      </c>
      <c r="M14" s="11">
        <v>4769.73</v>
      </c>
      <c r="N14" s="11">
        <v>936.03</v>
      </c>
      <c r="O14" s="11">
        <v>1115.99</v>
      </c>
      <c r="P14" s="11">
        <v>12.46</v>
      </c>
      <c r="Q14" s="11">
        <v>895.09</v>
      </c>
      <c r="R14" s="11">
        <v>24656.0</v>
      </c>
    </row>
    <row r="15" ht="15.0" customHeight="1">
      <c r="A15" s="7" t="s">
        <v>98</v>
      </c>
      <c r="B15" s="9" t="s">
        <v>71</v>
      </c>
      <c r="C15" s="11">
        <v>5173.76</v>
      </c>
      <c r="D15" s="11">
        <v>85.72</v>
      </c>
      <c r="E15" s="11">
        <v>1609.71</v>
      </c>
      <c r="F15" s="11">
        <v>1274.7</v>
      </c>
      <c r="G15" s="11">
        <v>1287.33</v>
      </c>
      <c r="H15" s="11">
        <v>1023.65</v>
      </c>
      <c r="I15" s="11">
        <v>7969.24</v>
      </c>
      <c r="J15" s="11">
        <v>1603.01</v>
      </c>
      <c r="K15" s="11">
        <v>6285.39</v>
      </c>
      <c r="L15" s="11">
        <v>7496.71</v>
      </c>
      <c r="M15" s="11">
        <v>4852.61</v>
      </c>
      <c r="N15" s="11">
        <v>922.51</v>
      </c>
      <c r="O15" s="11">
        <v>1116.19</v>
      </c>
      <c r="P15" s="11">
        <v>15.09</v>
      </c>
      <c r="Q15" s="11">
        <v>647.48</v>
      </c>
      <c r="R15" s="11">
        <v>18189.0</v>
      </c>
    </row>
    <row r="16" ht="15.0" customHeight="1">
      <c r="A16" s="7" t="s">
        <v>98</v>
      </c>
      <c r="B16" s="9" t="s">
        <v>86</v>
      </c>
      <c r="C16" s="11">
        <v>5614.72</v>
      </c>
      <c r="D16" s="11">
        <v>184.12</v>
      </c>
      <c r="E16" s="11">
        <v>1492.92</v>
      </c>
      <c r="F16" s="11">
        <v>1379.83</v>
      </c>
      <c r="G16" s="11">
        <v>1498.19</v>
      </c>
      <c r="H16" s="11">
        <v>1075.42</v>
      </c>
      <c r="I16" s="11">
        <v>8538.59</v>
      </c>
      <c r="J16" s="11">
        <v>1842.82</v>
      </c>
      <c r="K16" s="11">
        <v>6614.9</v>
      </c>
      <c r="L16" s="11">
        <v>7739.23</v>
      </c>
      <c r="M16" s="11">
        <v>5004.29</v>
      </c>
      <c r="N16" s="11">
        <v>917.32</v>
      </c>
      <c r="O16" s="11">
        <v>1138.68</v>
      </c>
      <c r="P16" s="11">
        <v>18.41</v>
      </c>
      <c r="Q16" s="11">
        <v>885.35</v>
      </c>
      <c r="R16" s="11">
        <v>19813.0</v>
      </c>
    </row>
    <row r="17" ht="14.25" customHeight="1"/>
    <row r="18" ht="15.0" customHeight="1">
      <c r="A18" s="19" t="s">
        <v>99</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4.0"/>
    <col customWidth="1" min="2" max="2" width="7.0"/>
    <col customWidth="1" min="3" max="16" width="10.0"/>
    <col customWidth="1" min="17" max="26" width="8.71"/>
  </cols>
  <sheetData>
    <row r="1" ht="17.25" customHeight="1">
      <c r="A1" s="1" t="s">
        <v>0</v>
      </c>
    </row>
    <row r="2" ht="15.0" customHeight="1">
      <c r="A2" s="2" t="s">
        <v>3</v>
      </c>
    </row>
    <row r="3" ht="14.25" customHeight="1"/>
    <row r="4" ht="21.75" customHeight="1">
      <c r="A4" s="4" t="s">
        <v>7</v>
      </c>
      <c r="B4" s="4" t="s">
        <v>9</v>
      </c>
      <c r="C4" s="4" t="s">
        <v>11</v>
      </c>
      <c r="D4" s="4" t="s">
        <v>14</v>
      </c>
      <c r="E4" s="4" t="s">
        <v>15</v>
      </c>
      <c r="F4" s="4" t="s">
        <v>18</v>
      </c>
      <c r="G4" s="4" t="s">
        <v>21</v>
      </c>
      <c r="H4" s="4" t="s">
        <v>23</v>
      </c>
      <c r="I4" s="4" t="s">
        <v>25</v>
      </c>
      <c r="J4" s="4" t="s">
        <v>27</v>
      </c>
      <c r="K4" s="4" t="s">
        <v>30</v>
      </c>
      <c r="L4" s="4" t="s">
        <v>32</v>
      </c>
      <c r="M4" s="4" t="s">
        <v>34</v>
      </c>
      <c r="N4" s="4" t="s">
        <v>36</v>
      </c>
      <c r="O4" s="4" t="s">
        <v>39</v>
      </c>
      <c r="P4" s="4" t="s">
        <v>43</v>
      </c>
    </row>
    <row r="5" ht="15.0" customHeight="1">
      <c r="A5" s="7" t="str">
        <f>Inputs!A5</f>
        <v>Asian Paints</v>
      </c>
      <c r="B5" s="9" t="str">
        <f>Inputs!B5</f>
        <v>FY23</v>
      </c>
      <c r="C5" s="17">
        <f>IFERROR(Inputs!C5/Inputs!G5,"")</f>
        <v>2.379460718</v>
      </c>
      <c r="D5" s="17">
        <f>IFERROR((Inputs!C5-Inputs!E5)/Inputs!G5,"")</f>
        <v>1.466860786</v>
      </c>
      <c r="E5" s="17">
        <f>IFERROR(Inputs!D5/Inputs!G5,"")</f>
        <v>0.02682690098</v>
      </c>
      <c r="F5" s="18">
        <f>Inputs!C5-Inputs!G5</f>
        <v>8044.27</v>
      </c>
      <c r="G5" s="17">
        <f>IFERROR((Inputs!C5-Inputs!G5)/Inputs!I5,"")</f>
        <v>0.357049584</v>
      </c>
      <c r="H5" s="20">
        <f>IFERROR(Inputs!F5/Inputs!L5*365,"")</f>
        <v>42.01861302</v>
      </c>
      <c r="I5" s="20">
        <f>IFERROR(Inputs!E5/Inputs!M5*365,"")</f>
        <v>105.9854923</v>
      </c>
      <c r="J5" s="20">
        <f>IFERROR(Inputs!H5/Inputs!M5*365,"")</f>
        <v>60.65947203</v>
      </c>
      <c r="K5" s="20">
        <f t="shared" ref="K5:K16" si="1">H5+I5-J5</f>
        <v>87.34463332</v>
      </c>
      <c r="L5" s="17">
        <f>IFERROR(Inputs!N5/Inputs!P5,"")</f>
        <v>59.98989899</v>
      </c>
      <c r="M5" s="17">
        <f>IFERROR(Inputs!J5/Inputs!O5,"")</f>
        <v>1.095573236</v>
      </c>
      <c r="N5" s="17">
        <f>IFERROR(Inputs!Q5/Inputs!G5,"")</f>
        <v>0.723943918</v>
      </c>
      <c r="O5" s="17">
        <f>IFERROR(1.2*(Inputs!C5-Inputs!G5)/Inputs!I5+1.4*Inputs!K5/Inputs!I5+3.3*Inputs!N5/Inputs!I5+0.6*Inputs!R5/Inputs!J5+1*Inputs!L5/Inputs!I5,"")</f>
        <v>25.474303</v>
      </c>
      <c r="P5" s="17">
        <f>IFERROR(6.56*(Inputs!C5-Inputs!G5)/Inputs!I5+3.26*Inputs!K5/Inputs!I5+6.72*Inputs!N5/Inputs!I5+1.05*(Inputs!I5-Inputs!J5)/Inputs!J5,"")</f>
        <v>8.605288108</v>
      </c>
    </row>
    <row r="6" ht="15.0" customHeight="1">
      <c r="A6" s="7" t="str">
        <f>Inputs!A6</f>
        <v>Asian Paints</v>
      </c>
      <c r="B6" s="9" t="str">
        <f>Inputs!B6</f>
        <v>FY24</v>
      </c>
      <c r="C6" s="17">
        <f>IFERROR(Inputs!C6/Inputs!G6,"")</f>
        <v>2.339364508</v>
      </c>
      <c r="D6" s="17">
        <f>IFERROR((Inputs!C6-Inputs!E6)/Inputs!G6,"")</f>
        <v>1.523619155</v>
      </c>
      <c r="E6" s="17">
        <f>IFERROR(Inputs!D6/Inputs!G6,"")</f>
        <v>0.05239663656</v>
      </c>
      <c r="F6" s="18">
        <f>Inputs!C6-Inputs!G6</f>
        <v>8332.2</v>
      </c>
      <c r="G6" s="17">
        <f>IFERROR((Inputs!C6-Inputs!G6)/Inputs!I6,"")</f>
        <v>0.3206924821</v>
      </c>
      <c r="H6" s="20">
        <f>IFERROR(Inputs!F6/Inputs!L6*365,"")</f>
        <v>42.9887874</v>
      </c>
      <c r="I6" s="20">
        <f>IFERROR(Inputs!E6/Inputs!M6*365,"")</f>
        <v>107.5698617</v>
      </c>
      <c r="J6" s="20">
        <f>IFERROR(Inputs!H6/Inputs!M6*365,"")</f>
        <v>68.65359052</v>
      </c>
      <c r="K6" s="20">
        <f t="shared" si="1"/>
        <v>81.90505854</v>
      </c>
      <c r="L6" s="17">
        <f>IFERROR(Inputs!N6/Inputs!P6,"")</f>
        <v>61.69173453</v>
      </c>
      <c r="M6" s="17">
        <f>IFERROR(Inputs!J6/Inputs!O6,"")</f>
        <v>0.962044316</v>
      </c>
      <c r="N6" s="17">
        <f>IFERROR(Inputs!Q6/Inputs!G6,"")</f>
        <v>0.9223325473</v>
      </c>
      <c r="O6" s="17">
        <f>IFERROR(1.2*(Inputs!C6-Inputs!G6)/Inputs!I6+1.4*Inputs!K6/Inputs!I6+3.3*Inputs!N6/Inputs!I6+0.6*Inputs!R6/Inputs!J6+1*Inputs!L6/Inputs!I6,"")</f>
        <v>25.4103095</v>
      </c>
      <c r="P6" s="17">
        <f>IFERROR(6.56*(Inputs!C6-Inputs!G6)/Inputs!I6+3.26*Inputs!K6/Inputs!I6+6.72*Inputs!N6/Inputs!I6+1.05*(Inputs!I6-Inputs!J6)/Inputs!J6,"")</f>
        <v>8.805307282</v>
      </c>
    </row>
    <row r="7" ht="15.0" customHeight="1">
      <c r="A7" s="7" t="str">
        <f>Inputs!A7</f>
        <v>Asian Paints</v>
      </c>
      <c r="B7" s="9" t="str">
        <f>Inputs!B7</f>
        <v>FY25</v>
      </c>
      <c r="C7" s="17">
        <f>IFERROR(Inputs!C7/Inputs!G7,"")</f>
        <v>2.300492919</v>
      </c>
      <c r="D7" s="17">
        <f>IFERROR((Inputs!C7-Inputs!E7)/Inputs!G7,"")</f>
        <v>1.362418174</v>
      </c>
      <c r="E7" s="17">
        <f>IFERROR(Inputs!D7/Inputs!G7,"")</f>
        <v>0.02861753303</v>
      </c>
      <c r="F7" s="18">
        <f>Inputs!C7-Inputs!G7</f>
        <v>8107.65</v>
      </c>
      <c r="G7" s="17">
        <f>IFERROR((Inputs!C7-Inputs!G7)/Inputs!I7,"")</f>
        <v>0.303936424</v>
      </c>
      <c r="H7" s="20">
        <f>IFERROR(Inputs!F7/Inputs!L7*365,"")</f>
        <v>39.49242285</v>
      </c>
      <c r="I7" s="20">
        <f>IFERROR(Inputs!E7/Inputs!M7*365,"")</f>
        <v>127.1215037</v>
      </c>
      <c r="J7" s="20">
        <f>IFERROR(Inputs!H7/Inputs!M7*365,"")</f>
        <v>67.89886338</v>
      </c>
      <c r="K7" s="20">
        <f t="shared" si="1"/>
        <v>98.71506313</v>
      </c>
      <c r="L7" s="17">
        <f>IFERROR(Inputs!N7/Inputs!P7,"")</f>
        <v>37.7338805</v>
      </c>
      <c r="M7" s="17">
        <f>IFERROR(Inputs!J7/Inputs!O7,"")</f>
        <v>1.21509598</v>
      </c>
      <c r="N7" s="17">
        <f>IFERROR(Inputs!Q7/Inputs!G7,"")</f>
        <v>0.6615059614</v>
      </c>
      <c r="O7" s="17">
        <f>IFERROR(1.2*(Inputs!C7-Inputs!G7)/Inputs!I7+1.4*Inputs!K7/Inputs!I7+3.3*Inputs!N7/Inputs!I7+0.6*Inputs!R7/Inputs!J7+1*Inputs!L7/Inputs!I7,"")</f>
        <v>20.35349187</v>
      </c>
      <c r="P7" s="17">
        <f>IFERROR(6.56*(Inputs!C7-Inputs!G7)/Inputs!I7+3.26*Inputs!K7/Inputs!I7+6.72*Inputs!N7/Inputs!I7+1.05*(Inputs!I7-Inputs!J7)/Inputs!J7,"")</f>
        <v>8.262605626</v>
      </c>
    </row>
    <row r="8" ht="15.0" customHeight="1">
      <c r="A8" s="7" t="str">
        <f>Inputs!A8</f>
        <v>Asian Paints</v>
      </c>
      <c r="B8" s="9" t="str">
        <f>Inputs!B8</f>
        <v>FY26</v>
      </c>
      <c r="C8" s="17">
        <f>IFERROR(Inputs!C8/Inputs!G8,"")</f>
        <v>2.463106705</v>
      </c>
      <c r="D8" s="17">
        <f>IFERROR((Inputs!C8-Inputs!E8)/Inputs!G8,"")</f>
        <v>1.774436616</v>
      </c>
      <c r="E8" s="17">
        <f>IFERROR(Inputs!D8/Inputs!G8,"")</f>
        <v>0.05643545136</v>
      </c>
      <c r="F8" s="18">
        <f>Inputs!C8-Inputs!G8</f>
        <v>10250.35</v>
      </c>
      <c r="G8" s="17">
        <f>IFERROR((Inputs!C8-Inputs!G8)/Inputs!I8,"")</f>
        <v>0.3407213606</v>
      </c>
      <c r="H8" s="20">
        <f>IFERROR(Inputs!F8/Inputs!L8*365,"")</f>
        <v>38.28839974</v>
      </c>
      <c r="I8" s="20">
        <f>IFERROR(Inputs!E8/Inputs!M8*365,"")</f>
        <v>103.1789893</v>
      </c>
      <c r="J8" s="20">
        <f>IFERROR(Inputs!H8/Inputs!M8*365,"")</f>
        <v>66.60439707</v>
      </c>
      <c r="K8" s="20">
        <f t="shared" si="1"/>
        <v>74.86299201</v>
      </c>
      <c r="L8" s="17">
        <f>IFERROR(Inputs!N8/Inputs!P8,"")</f>
        <v>47.33003534</v>
      </c>
      <c r="M8" s="17">
        <f>IFERROR(Inputs!J8/Inputs!O8,"")</f>
        <v>1.307820889</v>
      </c>
      <c r="N8" s="17">
        <f>IFERROR(Inputs!Q8/Inputs!G8,"")</f>
        <v>0.9650379396</v>
      </c>
      <c r="O8" s="17">
        <f>IFERROR(1.2*(Inputs!C8-Inputs!G8)/Inputs!I8+1.4*Inputs!K8/Inputs!I8+3.3*Inputs!N8/Inputs!I8+0.6*Inputs!R8/Inputs!J8+1*Inputs!L8/Inputs!I8,"")</f>
        <v>17.53207012</v>
      </c>
      <c r="P8" s="17">
        <f>IFERROR(6.56*(Inputs!C8-Inputs!G8)/Inputs!I8+3.26*Inputs!K8/Inputs!I8+6.72*Inputs!N8/Inputs!I8+1.05*(Inputs!I8-Inputs!J8)/Inputs!J8,"")</f>
        <v>8.168674101</v>
      </c>
    </row>
    <row r="9" ht="15.0" customHeight="1">
      <c r="A9" s="12" t="str">
        <f>Inputs!A9</f>
        <v>Berger Paints</v>
      </c>
      <c r="B9" s="14" t="str">
        <f>Inputs!B9</f>
        <v>FY23</v>
      </c>
      <c r="C9" s="23">
        <f>IFERROR(Inputs!C9/Inputs!G9,"")</f>
        <v>1.335374606</v>
      </c>
      <c r="D9" s="23">
        <f>IFERROR((Inputs!C9-Inputs!E9)/Inputs!G9,"")</f>
        <v>0.5393523069</v>
      </c>
      <c r="E9" s="23">
        <f>IFERROR(Inputs!D9/Inputs!G9,"")</f>
        <v>0.02109397892</v>
      </c>
      <c r="F9" s="24">
        <f>Inputs!C9-Inputs!G9</f>
        <v>904.18</v>
      </c>
      <c r="G9" s="23">
        <f>IFERROR((Inputs!C9-Inputs!G9)/Inputs!I9,"")</f>
        <v>0.1221850005</v>
      </c>
      <c r="H9" s="25">
        <f>IFERROR(Inputs!F9/Inputs!L9*365,"")</f>
        <v>37.4148683</v>
      </c>
      <c r="I9" s="25">
        <f>IFERROR(Inputs!E9/Inputs!M9*365,"")</f>
        <v>128.6858974</v>
      </c>
      <c r="J9" s="25">
        <f>IFERROR(Inputs!H9/Inputs!M9*365,"")</f>
        <v>100.3979057</v>
      </c>
      <c r="K9" s="25">
        <f t="shared" si="1"/>
        <v>65.70285999</v>
      </c>
      <c r="L9" s="23">
        <f>IFERROR(Inputs!N9/Inputs!P9,"")</f>
        <v>13.78071395</v>
      </c>
      <c r="M9" s="23">
        <f>IFERROR(Inputs!J9/Inputs!O9,"")</f>
        <v>2.181939564</v>
      </c>
      <c r="N9" s="23">
        <f>IFERROR(Inputs!Q9/Inputs!G9,"")</f>
        <v>0.3465428797</v>
      </c>
      <c r="O9" s="23">
        <f>IFERROR(1.2*(Inputs!C9-Inputs!G9)/Inputs!I9+1.4*Inputs!K9/Inputs!I9+3.3*Inputs!N9/Inputs!I9+0.6*Inputs!R9/Inputs!J9+1*Inputs!L9/Inputs!I9,"")</f>
        <v>14.95241163</v>
      </c>
      <c r="P9" s="23">
        <f>IFERROR(6.56*(Inputs!C9-Inputs!G9)/Inputs!I9+3.26*Inputs!K9/Inputs!I9+6.72*Inputs!N9/Inputs!I9+1.05*(Inputs!I9-Inputs!J9)/Inputs!J9,"")</f>
        <v>5.183176226</v>
      </c>
    </row>
    <row r="10" ht="15.0" customHeight="1">
      <c r="A10" s="12" t="str">
        <f>Inputs!A10</f>
        <v>Berger Paints</v>
      </c>
      <c r="B10" s="14" t="str">
        <f>Inputs!B10</f>
        <v>FY24</v>
      </c>
      <c r="C10" s="23">
        <f>IFERROR(Inputs!C10/Inputs!G10,"")</f>
        <v>1.77966085</v>
      </c>
      <c r="D10" s="23">
        <f>IFERROR((Inputs!C10-Inputs!E10)/Inputs!G10,"")</f>
        <v>0.7879308736</v>
      </c>
      <c r="E10" s="23">
        <f>IFERROR(Inputs!D10/Inputs!G10,"")</f>
        <v>0.07425341433</v>
      </c>
      <c r="F10" s="24">
        <f>Inputs!C10-Inputs!G10</f>
        <v>1587.6</v>
      </c>
      <c r="G10" s="23">
        <f>IFERROR((Inputs!C10-Inputs!G10)/Inputs!I10,"")</f>
        <v>0.2094000522</v>
      </c>
      <c r="H10" s="25">
        <f>IFERROR(Inputs!F10/Inputs!L10*365,"")</f>
        <v>35.73726398</v>
      </c>
      <c r="I10" s="25">
        <f>IFERROR(Inputs!E10/Inputs!M10*365,"")</f>
        <v>122.7809242</v>
      </c>
      <c r="J10" s="25">
        <f>IFERROR(Inputs!H10/Inputs!M10*365,"")</f>
        <v>95.2848262</v>
      </c>
      <c r="K10" s="25">
        <f t="shared" si="1"/>
        <v>63.23336197</v>
      </c>
      <c r="L10" s="23">
        <f>IFERROR(Inputs!N10/Inputs!P10,"")</f>
        <v>22.14846891</v>
      </c>
      <c r="M10" s="23">
        <f>IFERROR(Inputs!J10/Inputs!O10,"")</f>
        <v>1.490026661</v>
      </c>
      <c r="N10" s="23">
        <f>IFERROR(Inputs!Q10/Inputs!G10,"")</f>
        <v>0.7282433076</v>
      </c>
      <c r="O10" s="23">
        <f>IFERROR(1.2*(Inputs!C10-Inputs!G10)/Inputs!I10+1.4*Inputs!K10/Inputs!I10+3.3*Inputs!N10/Inputs!I10+0.6*Inputs!R10/Inputs!J10+1*Inputs!L10/Inputs!I10,"")</f>
        <v>16.80712562</v>
      </c>
      <c r="P10" s="23">
        <f>IFERROR(6.56*(Inputs!C10-Inputs!G10)/Inputs!I10+3.26*Inputs!K10/Inputs!I10+6.72*Inputs!N10/Inputs!I10+1.05*(Inputs!I10-Inputs!J10)/Inputs!J10,"")</f>
        <v>6.78492027</v>
      </c>
    </row>
    <row r="11" ht="15.0" customHeight="1">
      <c r="A11" s="12" t="str">
        <f>Inputs!A11</f>
        <v>Berger Paints</v>
      </c>
      <c r="B11" s="14" t="str">
        <f>Inputs!B11</f>
        <v>FY25</v>
      </c>
      <c r="C11" s="23">
        <f>IFERROR(Inputs!C11/Inputs!G11,"")</f>
        <v>2.08172186</v>
      </c>
      <c r="D11" s="23">
        <f>IFERROR((Inputs!C11-Inputs!E11)/Inputs!G11,"")</f>
        <v>0.9705100314</v>
      </c>
      <c r="E11" s="23">
        <f>IFERROR(Inputs!D11/Inputs!G11,"")</f>
        <v>0.07120195794</v>
      </c>
      <c r="F11" s="24">
        <f>Inputs!C11-Inputs!G11</f>
        <v>2148.04</v>
      </c>
      <c r="G11" s="23">
        <f>IFERROR((Inputs!C11-Inputs!G11)/Inputs!I11,"")</f>
        <v>0.2627086618</v>
      </c>
      <c r="H11" s="25">
        <f>IFERROR(Inputs!F11/Inputs!L11*365,"")</f>
        <v>40.35659077</v>
      </c>
      <c r="I11" s="25">
        <f>IFERROR(Inputs!E11/Inputs!M11*365,"")</f>
        <v>132.2816941</v>
      </c>
      <c r="J11" s="25">
        <f>IFERROR(Inputs!H11/Inputs!M11*365,"")</f>
        <v>94.07910534</v>
      </c>
      <c r="K11" s="25">
        <f t="shared" si="1"/>
        <v>78.55917955</v>
      </c>
      <c r="L11" s="23">
        <f>IFERROR(Inputs!N11/Inputs!P11,"")</f>
        <v>30.89427497</v>
      </c>
      <c r="M11" s="23">
        <f>IFERROR(Inputs!J11/Inputs!O11,"")</f>
        <v>1.389178056</v>
      </c>
      <c r="N11" s="23">
        <f>IFERROR(Inputs!Q11/Inputs!G11,"")</f>
        <v>0.5634265974</v>
      </c>
      <c r="O11" s="23">
        <f>IFERROR(1.2*(Inputs!C11-Inputs!G11)/Inputs!I11+1.4*Inputs!K11/Inputs!I11+3.3*Inputs!N11/Inputs!I11+0.6*Inputs!R11/Inputs!J11+1*Inputs!L11/Inputs!I11,"")</f>
        <v>16.56408777</v>
      </c>
      <c r="P11" s="23">
        <f>IFERROR(6.56*(Inputs!C11-Inputs!G11)/Inputs!I11+3.26*Inputs!K11/Inputs!I11+6.72*Inputs!N11/Inputs!I11+1.05*(Inputs!I11-Inputs!J11)/Inputs!J11,"")</f>
        <v>7.547547928</v>
      </c>
    </row>
    <row r="12" ht="15.0" customHeight="1">
      <c r="A12" s="12" t="str">
        <f>Inputs!A12</f>
        <v>Berger Paints</v>
      </c>
      <c r="B12" s="14" t="str">
        <f>Inputs!B12</f>
        <v>FY26</v>
      </c>
      <c r="C12" s="23">
        <f>IFERROR(Inputs!C12/Inputs!G12,"")</f>
        <v>2.184999837</v>
      </c>
      <c r="D12" s="23">
        <f>IFERROR((Inputs!C12-Inputs!E12)/Inputs!G12,"")</f>
        <v>1.146024247</v>
      </c>
      <c r="E12" s="23">
        <f>IFERROR(Inputs!D12/Inputs!G12,"")</f>
        <v>0.07093006428</v>
      </c>
      <c r="F12" s="24">
        <f>Inputs!C12-Inputs!G12</f>
        <v>2538.4</v>
      </c>
      <c r="G12" s="23">
        <f>IFERROR((Inputs!C12-Inputs!G12)/Inputs!I12,"")</f>
        <v>0.2837405826</v>
      </c>
      <c r="H12" s="25">
        <f>IFERROR(Inputs!F12/Inputs!L12*365,"")</f>
        <v>39.55658295</v>
      </c>
      <c r="I12" s="25">
        <f>IFERROR(Inputs!E12/Inputs!M12*365,"")</f>
        <v>131.6327705</v>
      </c>
      <c r="J12" s="25">
        <f>IFERROR(Inputs!H12/Inputs!M12*365,"")</f>
        <v>90.03383409</v>
      </c>
      <c r="K12" s="25">
        <f t="shared" si="1"/>
        <v>81.15551932</v>
      </c>
      <c r="L12" s="23">
        <f>IFERROR(Inputs!N12/Inputs!P12,"")</f>
        <v>33.63618421</v>
      </c>
      <c r="M12" s="23">
        <f>IFERROR(Inputs!J12/Inputs!O12,"")</f>
        <v>1.385146639</v>
      </c>
      <c r="N12" s="23">
        <f>IFERROR(Inputs!Q12/Inputs!G12,"")</f>
        <v>0.6565629216</v>
      </c>
      <c r="O12" s="23">
        <f>IFERROR(1.2*(Inputs!C12-Inputs!G12)/Inputs!I12+1.4*Inputs!K12/Inputs!I12+3.3*Inputs!N12/Inputs!I12+0.6*Inputs!R12/Inputs!J12+1*Inputs!L12/Inputs!I12,"")</f>
        <v>17.6914824</v>
      </c>
      <c r="P12" s="23">
        <f>IFERROR(6.56*(Inputs!C12-Inputs!G12)/Inputs!I12+3.26*Inputs!K12/Inputs!I12+6.72*Inputs!N12/Inputs!I12+1.05*(Inputs!I12-Inputs!J12)/Inputs!J12,"")</f>
        <v>7.840645901</v>
      </c>
    </row>
    <row r="13" ht="15.0" customHeight="1">
      <c r="A13" s="7" t="str">
        <f>Inputs!A13</f>
        <v>Kansai Nerolac</v>
      </c>
      <c r="B13" s="9" t="str">
        <f>Inputs!B13</f>
        <v>FY23</v>
      </c>
      <c r="C13" s="17">
        <f>IFERROR(Inputs!C13/Inputs!G13,"")</f>
        <v>2.848311597</v>
      </c>
      <c r="D13" s="17">
        <f>IFERROR((Inputs!C13-Inputs!E13)/Inputs!G13,"")</f>
        <v>1.530517596</v>
      </c>
      <c r="E13" s="17">
        <f>IFERROR(Inputs!D13/Inputs!G13,"")</f>
        <v>0.072141949</v>
      </c>
      <c r="F13" s="18">
        <f>Inputs!C13-Inputs!G13</f>
        <v>2311.48</v>
      </c>
      <c r="G13" s="17">
        <f>IFERROR((Inputs!C13-Inputs!G13)/Inputs!I13,"")</f>
        <v>0.380482393</v>
      </c>
      <c r="H13" s="20">
        <f>IFERROR(Inputs!F13/Inputs!L13*365,"")</f>
        <v>57.5848889</v>
      </c>
      <c r="I13" s="20">
        <f>IFERROR(Inputs!E13/Inputs!M13*365,"")</f>
        <v>121.3897129</v>
      </c>
      <c r="J13" s="20">
        <f>IFERROR(Inputs!H13/Inputs!M13*365,"")</f>
        <v>69.05502952</v>
      </c>
      <c r="K13" s="20">
        <f t="shared" si="1"/>
        <v>109.9195723</v>
      </c>
      <c r="L13" s="17">
        <f>IFERROR(Inputs!N13/Inputs!P13,"")</f>
        <v>67.84069887</v>
      </c>
      <c r="M13" s="17">
        <f>IFERROR(Inputs!J13/Inputs!O13,"")</f>
        <v>1.779694927</v>
      </c>
      <c r="N13" s="17">
        <f>IFERROR(Inputs!Q13/Inputs!G13,"")</f>
        <v>0.3088062435</v>
      </c>
      <c r="O13" s="17">
        <f>IFERROR(1.2*(Inputs!C13-Inputs!G13)/Inputs!I13+1.4*Inputs!K13/Inputs!I13+3.3*Inputs!N13/Inputs!I13+0.6*Inputs!R13/Inputs!J13+1*Inputs!L13/Inputs!I13,"")</f>
        <v>14.26602859</v>
      </c>
      <c r="P13" s="17">
        <f>IFERROR(6.56*(Inputs!C13-Inputs!G13)/Inputs!I13+3.26*Inputs!K13/Inputs!I13+6.72*Inputs!N13/Inputs!I13+1.05*(Inputs!I13-Inputs!J13)/Inputs!J13,"")</f>
        <v>8.965619787</v>
      </c>
    </row>
    <row r="14" ht="15.0" customHeight="1">
      <c r="A14" s="7" t="str">
        <f>Inputs!A14</f>
        <v>Kansai Nerolac</v>
      </c>
      <c r="B14" s="9" t="str">
        <f>Inputs!B14</f>
        <v>FY24</v>
      </c>
      <c r="C14" s="17">
        <f>IFERROR(Inputs!C14/Inputs!G14,"")</f>
        <v>3.482742619</v>
      </c>
      <c r="D14" s="17">
        <f>IFERROR((Inputs!C14-Inputs!E14)/Inputs!G14,"")</f>
        <v>2.253356764</v>
      </c>
      <c r="E14" s="17">
        <f>IFERROR(Inputs!D14/Inputs!G14,"")</f>
        <v>0.1235213121</v>
      </c>
      <c r="F14" s="18">
        <f>Inputs!C14-Inputs!G14</f>
        <v>3263.59</v>
      </c>
      <c r="G14" s="17">
        <f>IFERROR((Inputs!C14-Inputs!G14)/Inputs!I14,"")</f>
        <v>0.4517204629</v>
      </c>
      <c r="H14" s="20">
        <f>IFERROR(Inputs!F14/Inputs!L14*365,"")</f>
        <v>59.99570557</v>
      </c>
      <c r="I14" s="20">
        <f>IFERROR(Inputs!E14/Inputs!M14*365,"")</f>
        <v>123.6662453</v>
      </c>
      <c r="J14" s="20">
        <f>IFERROR(Inputs!H14/Inputs!M14*365,"")</f>
        <v>78.37919547</v>
      </c>
      <c r="K14" s="20">
        <f t="shared" si="1"/>
        <v>105.2827554</v>
      </c>
      <c r="L14" s="17">
        <f>IFERROR(Inputs!N14/Inputs!P14,"")</f>
        <v>75.12279294</v>
      </c>
      <c r="M14" s="17">
        <f>IFERROR(Inputs!J14/Inputs!O14,"")</f>
        <v>1.408328032</v>
      </c>
      <c r="N14" s="17">
        <f>IFERROR(Inputs!Q14/Inputs!G14,"")</f>
        <v>0.6809305369</v>
      </c>
      <c r="O14" s="17">
        <f>IFERROR(1.2*(Inputs!C14-Inputs!G14)/Inputs!I14+1.4*Inputs!K14/Inputs!I14+3.3*Inputs!N14/Inputs!I14+0.6*Inputs!R14/Inputs!J14+1*Inputs!L14/Inputs!I14,"")</f>
        <v>12.48531083</v>
      </c>
      <c r="P14" s="17">
        <f>IFERROR(6.56*(Inputs!C14-Inputs!G14)/Inputs!I14+3.26*Inputs!K14/Inputs!I14+6.72*Inputs!N14/Inputs!I14+1.05*(Inputs!I14-Inputs!J14)/Inputs!J14,"")</f>
        <v>10.12496717</v>
      </c>
    </row>
    <row r="15" ht="15.0" customHeight="1">
      <c r="A15" s="7" t="str">
        <f>Inputs!A15</f>
        <v>Kansai Nerolac</v>
      </c>
      <c r="B15" s="9" t="str">
        <f>Inputs!B15</f>
        <v>FY25</v>
      </c>
      <c r="C15" s="17">
        <f>IFERROR(Inputs!C15/Inputs!G15,"")</f>
        <v>4.018985031</v>
      </c>
      <c r="D15" s="17">
        <f>IFERROR((Inputs!C15-Inputs!E15)/Inputs!G15,"")</f>
        <v>2.768559732</v>
      </c>
      <c r="E15" s="17">
        <f>IFERROR(Inputs!D15/Inputs!G15,"")</f>
        <v>0.0665874329</v>
      </c>
      <c r="F15" s="18">
        <f>Inputs!C15-Inputs!G15</f>
        <v>3886.43</v>
      </c>
      <c r="G15" s="17">
        <f>IFERROR((Inputs!C15-Inputs!G15)/Inputs!I15,"")</f>
        <v>0.4876788753</v>
      </c>
      <c r="H15" s="20">
        <f>IFERROR(Inputs!F15/Inputs!L15*365,"")</f>
        <v>62.0626248</v>
      </c>
      <c r="I15" s="20">
        <f>IFERROR(Inputs!E15/Inputs!M15*365,"")</f>
        <v>121.0779663</v>
      </c>
      <c r="J15" s="20">
        <f>IFERROR(Inputs!H15/Inputs!M15*365,"")</f>
        <v>76.99614228</v>
      </c>
      <c r="K15" s="20">
        <f t="shared" si="1"/>
        <v>106.1444488</v>
      </c>
      <c r="L15" s="17">
        <f>IFERROR(Inputs!N15/Inputs!P15,"")</f>
        <v>61.13386349</v>
      </c>
      <c r="M15" s="17">
        <f>IFERROR(Inputs!J15/Inputs!O15,"")</f>
        <v>1.436144384</v>
      </c>
      <c r="N15" s="17">
        <f>IFERROR(Inputs!Q15/Inputs!G15,"")</f>
        <v>0.5029634981</v>
      </c>
      <c r="O15" s="17">
        <f>IFERROR(1.2*(Inputs!C15-Inputs!G15)/Inputs!I15+1.4*Inputs!K15/Inputs!I15+3.3*Inputs!N15/Inputs!I15+0.6*Inputs!R15/Inputs!J15+1*Inputs!L15/Inputs!I15,"")</f>
        <v>9.820180775</v>
      </c>
      <c r="P15" s="17">
        <f>IFERROR(6.56*(Inputs!C15-Inputs!G15)/Inputs!I15+3.26*Inputs!K15/Inputs!I15+6.72*Inputs!N15/Inputs!I15+1.05*(Inputs!I15-Inputs!J15)/Inputs!J15,"")</f>
        <v>10.7182491</v>
      </c>
    </row>
    <row r="16" ht="15.0" customHeight="1">
      <c r="A16" s="7" t="str">
        <f>Inputs!A16</f>
        <v>Kansai Nerolac</v>
      </c>
      <c r="B16" s="9" t="str">
        <f>Inputs!B16</f>
        <v>FY26</v>
      </c>
      <c r="C16" s="17">
        <f>IFERROR(Inputs!C16/Inputs!G16,"")</f>
        <v>3.747668854</v>
      </c>
      <c r="D16" s="17">
        <f>IFERROR((Inputs!C16-Inputs!E16)/Inputs!G16,"")</f>
        <v>2.751186432</v>
      </c>
      <c r="E16" s="17">
        <f>IFERROR(Inputs!D16/Inputs!G16,"")</f>
        <v>0.1228949599</v>
      </c>
      <c r="F16" s="18">
        <f>Inputs!C16-Inputs!G16</f>
        <v>4116.53</v>
      </c>
      <c r="G16" s="17">
        <f>IFERROR((Inputs!C16-Inputs!G16)/Inputs!I16,"")</f>
        <v>0.4821088728</v>
      </c>
      <c r="H16" s="20">
        <f>IFERROR(Inputs!F16/Inputs!L16*365,"")</f>
        <v>65.07597655</v>
      </c>
      <c r="I16" s="20">
        <f>IFERROR(Inputs!E16/Inputs!M16*365,"")</f>
        <v>108.8897326</v>
      </c>
      <c r="J16" s="20">
        <f>IFERROR(Inputs!H16/Inputs!M16*365,"")</f>
        <v>78.43835989</v>
      </c>
      <c r="K16" s="20">
        <f t="shared" si="1"/>
        <v>95.52734927</v>
      </c>
      <c r="L16" s="17">
        <f>IFERROR(Inputs!N16/Inputs!P16,"")</f>
        <v>49.82726779</v>
      </c>
      <c r="M16" s="17">
        <f>IFERROR(Inputs!J16/Inputs!O16,"")</f>
        <v>1.618382689</v>
      </c>
      <c r="N16" s="17">
        <f>IFERROR(Inputs!Q16/Inputs!G16,"")</f>
        <v>0.5909464087</v>
      </c>
      <c r="O16" s="17">
        <f>IFERROR(1.2*(Inputs!C16-Inputs!G16)/Inputs!I16+1.4*Inputs!K16/Inputs!I16+3.3*Inputs!N16/Inputs!I16+0.6*Inputs!R16/Inputs!J16+1*Inputs!L16/Inputs!I16,"")</f>
        <v>9.374902878</v>
      </c>
      <c r="P16" s="17">
        <f>IFERROR(6.56*(Inputs!C16-Inputs!G16)/Inputs!I16+3.26*Inputs!K16/Inputs!I16+6.72*Inputs!N16/Inputs!I16+1.05*(Inputs!I16-Inputs!J16)/Inputs!J16,"")</f>
        <v>10.22523036</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8" width="8.0"/>
    <col customWidth="1" min="9" max="9" width="7.0"/>
    <col customWidth="1" min="10" max="10" width="14.0"/>
    <col customWidth="1" min="11" max="14" width="9.0"/>
    <col customWidth="1" min="15" max="26" width="8.71"/>
  </cols>
  <sheetData>
    <row r="1" ht="17.25" customHeight="1">
      <c r="A1" s="1" t="s">
        <v>100</v>
      </c>
    </row>
    <row r="2" ht="15.0" customHeight="1">
      <c r="A2" s="2" t="s">
        <v>101</v>
      </c>
    </row>
    <row r="3" ht="14.25" customHeight="1"/>
    <row r="4" ht="15.0" customHeight="1">
      <c r="A4" s="4" t="s">
        <v>7</v>
      </c>
      <c r="B4" s="4" t="s">
        <v>11</v>
      </c>
      <c r="C4" s="4" t="s">
        <v>14</v>
      </c>
      <c r="D4" s="4" t="s">
        <v>21</v>
      </c>
      <c r="E4" s="4" t="s">
        <v>32</v>
      </c>
      <c r="F4" s="4" t="s">
        <v>102</v>
      </c>
      <c r="G4" s="4" t="s">
        <v>36</v>
      </c>
      <c r="H4" s="4" t="s">
        <v>103</v>
      </c>
      <c r="I4" s="4" t="s">
        <v>104</v>
      </c>
      <c r="J4" s="4" t="s">
        <v>105</v>
      </c>
      <c r="K4" s="4" t="s">
        <v>39</v>
      </c>
      <c r="L4" s="4" t="s">
        <v>106</v>
      </c>
      <c r="M4" s="4" t="s">
        <v>43</v>
      </c>
      <c r="N4" s="4" t="s">
        <v>107</v>
      </c>
    </row>
    <row r="5" ht="15.0" customHeight="1">
      <c r="A5" s="7" t="str">
        <f>Indicators!A8</f>
        <v>Asian Paints</v>
      </c>
      <c r="B5" s="21" t="str">
        <f>IF(Indicators!C8="","",IF(Indicators!C8&lt;1,"RED",IF(Indicators!C8&lt;1.5,"amber","ok")))</f>
        <v>ok</v>
      </c>
      <c r="C5" s="21" t="str">
        <f>IF(Indicators!D8="","",IF(Indicators!D8&lt;0.7,"RED",IF(Indicators!D8&lt;1,"amber","ok")))</f>
        <v>ok</v>
      </c>
      <c r="D5" s="21" t="str">
        <f>IF(Indicators!G8="","",IF(Indicators!G8&lt;0,"RED",IF(Indicators!G8&lt;0.1,"amber","ok")))</f>
        <v>ok</v>
      </c>
      <c r="E5" s="21" t="str">
        <f>IF(Indicators!L8="","",IF(Indicators!L8&lt;1.5,"RED",IF(Indicators!L8&lt;3,"amber","ok")))</f>
        <v>ok</v>
      </c>
      <c r="F5" s="21" t="str">
        <f>IF(Indicators!M8="","",IF(OR(Indicators!M8&lt;0,Indicators!M8&gt;4),"RED",IF(Indicators!M8&gt;3,"amber","ok")))</f>
        <v>ok</v>
      </c>
      <c r="G5" s="21" t="str">
        <f>IF(Indicators!N8="","",IF(Indicators!N8&lt;0,"RED",IF(Indicators!N8&lt;0.4,"amber","ok")))</f>
        <v>ok</v>
      </c>
      <c r="H5" s="21" t="str">
        <f>IF(Indicators!O8="","",IF(Indicators!O8&lt;1.81,"RED",IF(Indicators!O8&lt;2.99,"amber","ok")))</f>
        <v>ok</v>
      </c>
      <c r="I5" s="17">
        <f t="shared" ref="I5:I7" si="1">COUNTIF(B5:H5,"RED")+COUNTIF(B5:H5,"amber")*0.5</f>
        <v>0</v>
      </c>
      <c r="J5" s="22" t="str">
        <f t="shared" ref="J5:J7" si="2">IF(I5&gt;=5,"Distress",IF(I5&gt;=2.5,"Watch","Healthy"))</f>
        <v>Healthy</v>
      </c>
      <c r="K5" s="17">
        <f>Indicators!O8</f>
        <v>17.53207012</v>
      </c>
      <c r="L5" s="22" t="str">
        <f t="shared" ref="L5:L7" si="3">IF(K5&lt;1.81,"Distress",IF(K5&lt;2.99,"Grey","Safe"))</f>
        <v>Safe</v>
      </c>
      <c r="M5" s="17">
        <f>Indicators!P8</f>
        <v>8.168674101</v>
      </c>
      <c r="N5" s="22" t="str">
        <f t="shared" ref="N5:N7" si="4">IF(M5&lt;1.1,"Distress",IF(M5&lt;2.6,"Grey","Safe"))</f>
        <v>Safe</v>
      </c>
    </row>
    <row r="6" ht="15.0" customHeight="1">
      <c r="A6" s="7" t="str">
        <f>Indicators!A12</f>
        <v>Berger Paints</v>
      </c>
      <c r="B6" s="21" t="str">
        <f>IF(Indicators!C12="","",IF(Indicators!C12&lt;1,"RED",IF(Indicators!C12&lt;1.5,"amber","ok")))</f>
        <v>ok</v>
      </c>
      <c r="C6" s="21" t="str">
        <f>IF(Indicators!D12="","",IF(Indicators!D12&lt;0.7,"RED",IF(Indicators!D12&lt;1,"amber","ok")))</f>
        <v>ok</v>
      </c>
      <c r="D6" s="21" t="str">
        <f>IF(Indicators!G12="","",IF(Indicators!G12&lt;0,"RED",IF(Indicators!G12&lt;0.1,"amber","ok")))</f>
        <v>ok</v>
      </c>
      <c r="E6" s="21" t="str">
        <f>IF(Indicators!L12="","",IF(Indicators!L12&lt;1.5,"RED",IF(Indicators!L12&lt;3,"amber","ok")))</f>
        <v>ok</v>
      </c>
      <c r="F6" s="21" t="str">
        <f>IF(Indicators!M12="","",IF(OR(Indicators!M12&lt;0,Indicators!M12&gt;4),"RED",IF(Indicators!M12&gt;3,"amber","ok")))</f>
        <v>ok</v>
      </c>
      <c r="G6" s="21" t="str">
        <f>IF(Indicators!N12="","",IF(Indicators!N12&lt;0,"RED",IF(Indicators!N12&lt;0.4,"amber","ok")))</f>
        <v>ok</v>
      </c>
      <c r="H6" s="21" t="str">
        <f>IF(Indicators!O12="","",IF(Indicators!O12&lt;1.81,"RED",IF(Indicators!O12&lt;2.99,"amber","ok")))</f>
        <v>ok</v>
      </c>
      <c r="I6" s="17">
        <f t="shared" si="1"/>
        <v>0</v>
      </c>
      <c r="J6" s="22" t="str">
        <f t="shared" si="2"/>
        <v>Healthy</v>
      </c>
      <c r="K6" s="17">
        <f>Indicators!O12</f>
        <v>17.6914824</v>
      </c>
      <c r="L6" s="22" t="str">
        <f t="shared" si="3"/>
        <v>Safe</v>
      </c>
      <c r="M6" s="17">
        <f>Indicators!P12</f>
        <v>7.840645901</v>
      </c>
      <c r="N6" s="22" t="str">
        <f t="shared" si="4"/>
        <v>Safe</v>
      </c>
    </row>
    <row r="7" ht="15.0" customHeight="1">
      <c r="A7" s="7" t="str">
        <f>Indicators!A16</f>
        <v>Kansai Nerolac</v>
      </c>
      <c r="B7" s="21" t="str">
        <f>IF(Indicators!C16="","",IF(Indicators!C16&lt;1,"RED",IF(Indicators!C16&lt;1.5,"amber","ok")))</f>
        <v>ok</v>
      </c>
      <c r="C7" s="21" t="str">
        <f>IF(Indicators!D16="","",IF(Indicators!D16&lt;0.7,"RED",IF(Indicators!D16&lt;1,"amber","ok")))</f>
        <v>ok</v>
      </c>
      <c r="D7" s="21" t="str">
        <f>IF(Indicators!G16="","",IF(Indicators!G16&lt;0,"RED",IF(Indicators!G16&lt;0.1,"amber","ok")))</f>
        <v>ok</v>
      </c>
      <c r="E7" s="21" t="str">
        <f>IF(Indicators!L16="","",IF(Indicators!L16&lt;1.5,"RED",IF(Indicators!L16&lt;3,"amber","ok")))</f>
        <v>ok</v>
      </c>
      <c r="F7" s="21" t="str">
        <f>IF(Indicators!M16="","",IF(OR(Indicators!M16&lt;0,Indicators!M16&gt;4),"RED",IF(Indicators!M16&gt;3,"amber","ok")))</f>
        <v>ok</v>
      </c>
      <c r="G7" s="21" t="str">
        <f>IF(Indicators!N16="","",IF(Indicators!N16&lt;0,"RED",IF(Indicators!N16&lt;0.4,"amber","ok")))</f>
        <v>ok</v>
      </c>
      <c r="H7" s="21" t="str">
        <f>IF(Indicators!O16="","",IF(Indicators!O16&lt;1.81,"RED",IF(Indicators!O16&lt;2.99,"amber","ok")))</f>
        <v>ok</v>
      </c>
      <c r="I7" s="17">
        <f t="shared" si="1"/>
        <v>0</v>
      </c>
      <c r="J7" s="22" t="str">
        <f t="shared" si="2"/>
        <v>Healthy</v>
      </c>
      <c r="K7" s="17">
        <f>Indicators!O16</f>
        <v>9.374902878</v>
      </c>
      <c r="L7" s="22" t="str">
        <f t="shared" si="3"/>
        <v>Safe</v>
      </c>
      <c r="M7" s="17">
        <f>Indicators!P16</f>
        <v>10.22523036</v>
      </c>
      <c r="N7" s="22" t="str">
        <f t="shared" si="4"/>
        <v>Safe</v>
      </c>
    </row>
    <row r="8" ht="14.25" customHeight="1"/>
    <row r="9" ht="15.0" customHeight="1">
      <c r="A9" s="2" t="s">
        <v>108</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B5:H7">
    <cfRule type="cellIs" dxfId="0" priority="1" operator="equal">
      <formula>"RED"</formula>
    </cfRule>
  </conditionalFormatting>
  <conditionalFormatting sqref="B5:H7">
    <cfRule type="cellIs" dxfId="1" priority="2" operator="equal">
      <formula>"amber"</formula>
    </cfRule>
  </conditionalFormatting>
  <conditionalFormatting sqref="B5:H7">
    <cfRule type="cellIs" dxfId="2" priority="3" operator="equal">
      <formula>"ok"</formula>
    </cfRule>
  </conditionalFormatting>
  <conditionalFormatting sqref="J5:J7">
    <cfRule type="cellIs" dxfId="0" priority="4" operator="equal">
      <formula>"Distress"</formula>
    </cfRule>
  </conditionalFormatting>
  <conditionalFormatting sqref="J5:J7">
    <cfRule type="cellIs" dxfId="1" priority="5" operator="equal">
      <formula>"Watch"</formula>
    </cfRule>
  </conditionalFormatting>
  <conditionalFormatting sqref="J5:J7">
    <cfRule type="cellIs" dxfId="2" priority="6" operator="equal">
      <formula>"Healthy"</formula>
    </cfRule>
  </conditionalFormatting>
  <conditionalFormatting sqref="L5:L7">
    <cfRule type="cellIs" dxfId="0" priority="7" operator="equal">
      <formula>"Distress"</formula>
    </cfRule>
  </conditionalFormatting>
  <conditionalFormatting sqref="L5:L7">
    <cfRule type="cellIs" dxfId="1" priority="8" operator="equal">
      <formula>"Grey"</formula>
    </cfRule>
  </conditionalFormatting>
  <conditionalFormatting sqref="L5:L7">
    <cfRule type="cellIs" dxfId="2" priority="9" operator="equal">
      <formula>"Safe"</formula>
    </cfRule>
  </conditionalFormatting>
  <conditionalFormatting sqref="N5:N7">
    <cfRule type="cellIs" dxfId="0" priority="10" operator="equal">
      <formula>"Distress"</formula>
    </cfRule>
  </conditionalFormatting>
  <conditionalFormatting sqref="N5:N7">
    <cfRule type="cellIs" dxfId="1" priority="11" operator="equal">
      <formula>"Grey"</formula>
    </cfRule>
  </conditionalFormatting>
  <conditionalFormatting sqref="N5:N7">
    <cfRule type="cellIs" dxfId="2" priority="12" operator="equal">
      <formula>"Safe"</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0"/>
    <col customWidth="1" min="2" max="3" width="8.0"/>
    <col customWidth="1" min="4" max="7" width="7.0"/>
    <col customWidth="1" min="8" max="9" width="9.0"/>
    <col customWidth="1" min="10" max="10" width="7.0"/>
    <col customWidth="1" min="11" max="12" width="10.0"/>
    <col customWidth="1" min="13" max="13" width="7.0"/>
    <col customWidth="1" min="14" max="14" width="17.29"/>
    <col customWidth="1" min="15" max="26" width="8.71"/>
  </cols>
  <sheetData>
    <row r="1" ht="17.25" customHeight="1">
      <c r="A1" s="1" t="s">
        <v>109</v>
      </c>
    </row>
    <row r="2" ht="15.0" customHeight="1">
      <c r="A2" s="2" t="s">
        <v>110</v>
      </c>
    </row>
    <row r="3" ht="14.25" customHeight="1"/>
    <row r="4" ht="21.75" customHeight="1">
      <c r="A4" s="4" t="s">
        <v>7</v>
      </c>
      <c r="B4" s="4" t="s">
        <v>111</v>
      </c>
      <c r="C4" s="4" t="s">
        <v>112</v>
      </c>
      <c r="D4" s="4" t="s">
        <v>113</v>
      </c>
      <c r="E4" s="4" t="s">
        <v>114</v>
      </c>
      <c r="F4" s="4" t="s">
        <v>115</v>
      </c>
      <c r="G4" s="4" t="s">
        <v>116</v>
      </c>
      <c r="H4" s="4" t="s">
        <v>117</v>
      </c>
      <c r="I4" s="4" t="s">
        <v>118</v>
      </c>
      <c r="J4" s="4" t="s">
        <v>119</v>
      </c>
      <c r="K4" s="4" t="s">
        <v>120</v>
      </c>
      <c r="L4" s="4" t="s">
        <v>121</v>
      </c>
      <c r="M4" s="4" t="s">
        <v>122</v>
      </c>
      <c r="N4" s="4" t="s">
        <v>123</v>
      </c>
    </row>
    <row r="5" ht="15.0" customHeight="1">
      <c r="A5" s="7" t="str">
        <f>Indicators!A8</f>
        <v>Asian Paints</v>
      </c>
      <c r="B5" s="17">
        <f>Indicators!C5</f>
        <v>2.379460718</v>
      </c>
      <c r="C5" s="17">
        <f>Indicators!C8</f>
        <v>2.463106705</v>
      </c>
      <c r="D5" s="21" t="str">
        <f>IF(Indicators!C8&gt;Indicators!C5*1.03,"Up",IF(Indicators!C8&lt;Indicators!C5*0.97,"Down","Flat"))</f>
        <v>Up</v>
      </c>
      <c r="E5" s="17">
        <f>Indicators!O5</f>
        <v>25.474303</v>
      </c>
      <c r="F5" s="17">
        <f>Indicators!O8</f>
        <v>17.53207012</v>
      </c>
      <c r="G5" s="21" t="str">
        <f>IF(Indicators!O8&gt;Indicators!O5*1.03,"Up",IF(Indicators!O8&lt;Indicators!O5*0.97,"Down","Flat"))</f>
        <v>Down</v>
      </c>
      <c r="H5" s="20">
        <f>Indicators!K5</f>
        <v>87.34463332</v>
      </c>
      <c r="I5" s="20">
        <f>Indicators!K8</f>
        <v>74.86299201</v>
      </c>
      <c r="J5" s="21" t="str">
        <f>IF(Indicators!K8&gt;Indicators!K5*1.03,"Up",IF(Indicators!K8&lt;Indicators!K5*0.97,"Down","Flat"))</f>
        <v>Down</v>
      </c>
      <c r="K5" s="17">
        <f>Indicators!N5</f>
        <v>0.723943918</v>
      </c>
      <c r="L5" s="17">
        <f>Indicators!N8</f>
        <v>0.9650379396</v>
      </c>
      <c r="M5" s="21" t="str">
        <f>IF(Indicators!N8&gt;Indicators!N5*1.03,"Up",IF(Indicators!N8&lt;Indicators!N5*0.97,"Down","Flat"))</f>
        <v>Up</v>
      </c>
      <c r="N5" s="7" t="str">
        <f>IF((IF(Indicators!C8&lt;Indicators!C5,1,0)+IF(Indicators!O8&lt;Indicators!O5,1,0)+IF(Indicators!N8&lt;Indicators!N5,1,0)+IF(Indicators!K8&gt;Indicators!K5,1,0))&gt;=3,"Deteriorating",IF((IF(Indicators!C8&lt;Indicators!C5,1,0)+IF(Indicators!O8&lt;Indicators!O5,1,0)+IF(Indicators!N8&lt;Indicators!N5,1,0)+IF(Indicators!K8&gt;Indicators!K5,1,0))=2,"Weakening","Stable / improving"))</f>
        <v>Stable / improving</v>
      </c>
    </row>
    <row r="6" ht="15.0" customHeight="1">
      <c r="A6" s="7" t="str">
        <f>Indicators!A12</f>
        <v>Berger Paints</v>
      </c>
      <c r="B6" s="17">
        <f>Indicators!C9</f>
        <v>1.335374606</v>
      </c>
      <c r="C6" s="17">
        <f>Indicators!C12</f>
        <v>2.184999837</v>
      </c>
      <c r="D6" s="21" t="str">
        <f>IF(Indicators!C12&gt;Indicators!C9*1.03,"Up",IF(Indicators!C12&lt;Indicators!C9*0.97,"Down","Flat"))</f>
        <v>Up</v>
      </c>
      <c r="E6" s="17">
        <f>Indicators!O9</f>
        <v>14.95241163</v>
      </c>
      <c r="F6" s="17">
        <f>Indicators!O12</f>
        <v>17.6914824</v>
      </c>
      <c r="G6" s="21" t="str">
        <f>IF(Indicators!O12&gt;Indicators!O9*1.03,"Up",IF(Indicators!O12&lt;Indicators!O9*0.97,"Down","Flat"))</f>
        <v>Up</v>
      </c>
      <c r="H6" s="20">
        <f>Indicators!K9</f>
        <v>65.70285999</v>
      </c>
      <c r="I6" s="20">
        <f>Indicators!K12</f>
        <v>81.15551932</v>
      </c>
      <c r="J6" s="21" t="str">
        <f>IF(Indicators!K12&gt;Indicators!K9*1.03,"Up",IF(Indicators!K12&lt;Indicators!K9*0.97,"Down","Flat"))</f>
        <v>Up</v>
      </c>
      <c r="K6" s="17">
        <f>Indicators!N9</f>
        <v>0.3465428797</v>
      </c>
      <c r="L6" s="17">
        <f>Indicators!N12</f>
        <v>0.6565629216</v>
      </c>
      <c r="M6" s="21" t="str">
        <f>IF(Indicators!N12&gt;Indicators!N9*1.03,"Up",IF(Indicators!N12&lt;Indicators!N9*0.97,"Down","Flat"))</f>
        <v>Up</v>
      </c>
      <c r="N6" s="7" t="str">
        <f>IF((IF(Indicators!C12&lt;Indicators!C9,1,0)+IF(Indicators!O12&lt;Indicators!O9,1,0)+IF(Indicators!N12&lt;Indicators!N9,1,0)+IF(Indicators!K12&gt;Indicators!K9,1,0))&gt;=3,"Deteriorating",IF((IF(Indicators!C12&lt;Indicators!C9,1,0)+IF(Indicators!O12&lt;Indicators!O9,1,0)+IF(Indicators!N12&lt;Indicators!N9,1,0)+IF(Indicators!K12&gt;Indicators!K9,1,0))=2,"Weakening","Stable / improving"))</f>
        <v>Stable / improving</v>
      </c>
    </row>
    <row r="7" ht="15.0" customHeight="1">
      <c r="A7" s="7" t="str">
        <f>Indicators!A16</f>
        <v>Kansai Nerolac</v>
      </c>
      <c r="B7" s="17">
        <f>Indicators!C13</f>
        <v>2.848311597</v>
      </c>
      <c r="C7" s="17">
        <f>Indicators!C16</f>
        <v>3.747668854</v>
      </c>
      <c r="D7" s="21" t="str">
        <f>IF(Indicators!C16&gt;Indicators!C13*1.03,"Up",IF(Indicators!C16&lt;Indicators!C13*0.97,"Down","Flat"))</f>
        <v>Up</v>
      </c>
      <c r="E7" s="17">
        <f>Indicators!O13</f>
        <v>14.26602859</v>
      </c>
      <c r="F7" s="17">
        <f>Indicators!O16</f>
        <v>9.374902878</v>
      </c>
      <c r="G7" s="21" t="str">
        <f>IF(Indicators!O16&gt;Indicators!O13*1.03,"Up",IF(Indicators!O16&lt;Indicators!O13*0.97,"Down","Flat"))</f>
        <v>Down</v>
      </c>
      <c r="H7" s="20">
        <f>Indicators!K13</f>
        <v>109.9195723</v>
      </c>
      <c r="I7" s="20">
        <f>Indicators!K16</f>
        <v>95.52734927</v>
      </c>
      <c r="J7" s="21" t="str">
        <f>IF(Indicators!K16&gt;Indicators!K13*1.03,"Up",IF(Indicators!K16&lt;Indicators!K13*0.97,"Down","Flat"))</f>
        <v>Down</v>
      </c>
      <c r="K7" s="17">
        <f>Indicators!N13</f>
        <v>0.3088062435</v>
      </c>
      <c r="L7" s="17">
        <f>Indicators!N16</f>
        <v>0.5909464087</v>
      </c>
      <c r="M7" s="21" t="str">
        <f>IF(Indicators!N16&gt;Indicators!N13*1.03,"Up",IF(Indicators!N16&lt;Indicators!N13*0.97,"Down","Flat"))</f>
        <v>Up</v>
      </c>
      <c r="N7" s="7" t="str">
        <f>IF((IF(Indicators!C16&lt;Indicators!C13,1,0)+IF(Indicators!O16&lt;Indicators!O13,1,0)+IF(Indicators!N16&lt;Indicators!N13,1,0)+IF(Indicators!K16&gt;Indicators!K13,1,0))&gt;=3,"Deteriorating",IF((IF(Indicators!C16&lt;Indicators!C13,1,0)+IF(Indicators!O16&lt;Indicators!O13,1,0)+IF(Indicators!N16&lt;Indicators!N13,1,0)+IF(Indicators!K16&gt;Indicators!K13,1,0))=2,"Weakening","Stable / improving"))</f>
        <v>Stable / improving</v>
      </c>
    </row>
    <row r="8" ht="14.25" customHeight="1"/>
    <row r="9" ht="14.25" customHeight="1"/>
    <row r="10" ht="15.0" customHeight="1">
      <c r="A10" s="3" t="s">
        <v>189</v>
      </c>
    </row>
    <row r="11" ht="15.0" customHeight="1">
      <c r="A11" s="16" t="s">
        <v>9</v>
      </c>
      <c r="B11" s="16" t="s">
        <v>46</v>
      </c>
      <c r="C11" s="16" t="s">
        <v>93</v>
      </c>
      <c r="D11" s="16" t="s">
        <v>98</v>
      </c>
    </row>
    <row r="12" ht="15.0" customHeight="1">
      <c r="A12" s="16" t="str">
        <f>Inputs!B5</f>
        <v>FY23</v>
      </c>
      <c r="B12" s="84">
        <f>Indicators!O5</f>
        <v>25.474303</v>
      </c>
      <c r="C12" s="84">
        <f>Indicators!O9</f>
        <v>14.95241163</v>
      </c>
      <c r="D12" s="84">
        <f>Indicators!O13</f>
        <v>14.26602859</v>
      </c>
    </row>
    <row r="13" ht="15.0" customHeight="1">
      <c r="A13" s="16" t="str">
        <f>Inputs!B6</f>
        <v>FY24</v>
      </c>
      <c r="B13" s="84">
        <f>Indicators!O6</f>
        <v>25.4103095</v>
      </c>
      <c r="C13" s="84">
        <f>Indicators!O10</f>
        <v>16.80712562</v>
      </c>
      <c r="D13" s="84">
        <f>Indicators!O14</f>
        <v>12.48531083</v>
      </c>
    </row>
    <row r="14" ht="15.0" customHeight="1">
      <c r="A14" s="16" t="str">
        <f>Inputs!B7</f>
        <v>FY25</v>
      </c>
      <c r="B14" s="84">
        <f>Indicators!O7</f>
        <v>20.35349187</v>
      </c>
      <c r="C14" s="84">
        <f>Indicators!O11</f>
        <v>16.56408777</v>
      </c>
      <c r="D14" s="84">
        <f>Indicators!O15</f>
        <v>9.820180775</v>
      </c>
    </row>
    <row r="15" ht="15.0" customHeight="1">
      <c r="A15" s="16" t="str">
        <f>Inputs!B8</f>
        <v>FY26</v>
      </c>
      <c r="B15" s="84">
        <f>Indicators!O8</f>
        <v>17.53207012</v>
      </c>
      <c r="C15" s="84">
        <f>Indicators!O12</f>
        <v>17.6914824</v>
      </c>
      <c r="D15" s="84">
        <f>Indicators!O16</f>
        <v>9.374902878</v>
      </c>
    </row>
    <row r="16" ht="14.25" customHeight="1"/>
    <row r="17" ht="15.0" customHeight="1">
      <c r="A17" s="3" t="s">
        <v>191</v>
      </c>
    </row>
    <row r="18" ht="15.0" customHeight="1">
      <c r="A18" s="16" t="s">
        <v>9</v>
      </c>
      <c r="B18" s="16" t="s">
        <v>46</v>
      </c>
      <c r="C18" s="16" t="s">
        <v>93</v>
      </c>
      <c r="D18" s="16" t="s">
        <v>98</v>
      </c>
    </row>
    <row r="19" ht="15.0" customHeight="1">
      <c r="A19" s="16" t="str">
        <f>Inputs!B5</f>
        <v>FY23</v>
      </c>
      <c r="B19" s="84">
        <f>Indicators!C5</f>
        <v>2.379460718</v>
      </c>
      <c r="C19" s="84">
        <f>Indicators!C9</f>
        <v>1.335374606</v>
      </c>
      <c r="D19" s="84">
        <f>Indicators!C13</f>
        <v>2.848311597</v>
      </c>
    </row>
    <row r="20" ht="15.0" customHeight="1">
      <c r="A20" s="16" t="str">
        <f>Inputs!B6</f>
        <v>FY24</v>
      </c>
      <c r="B20" s="84">
        <f>Indicators!C6</f>
        <v>2.339364508</v>
      </c>
      <c r="C20" s="84">
        <f>Indicators!C10</f>
        <v>1.77966085</v>
      </c>
      <c r="D20" s="84">
        <f>Indicators!C14</f>
        <v>3.482742619</v>
      </c>
    </row>
    <row r="21" ht="15.0" customHeight="1">
      <c r="A21" s="16" t="str">
        <f>Inputs!B7</f>
        <v>FY25</v>
      </c>
      <c r="B21" s="84">
        <f>Indicators!C7</f>
        <v>2.300492919</v>
      </c>
      <c r="C21" s="84">
        <f>Indicators!C11</f>
        <v>2.08172186</v>
      </c>
      <c r="D21" s="84">
        <f>Indicators!C15</f>
        <v>4.018985031</v>
      </c>
    </row>
    <row r="22" ht="15.0" customHeight="1">
      <c r="A22" s="16" t="str">
        <f>Inputs!B8</f>
        <v>FY26</v>
      </c>
      <c r="B22" s="84">
        <f>Indicators!C8</f>
        <v>2.463106705</v>
      </c>
      <c r="C22" s="84">
        <f>Indicators!C12</f>
        <v>2.184999837</v>
      </c>
      <c r="D22" s="84">
        <f>Indicators!C16</f>
        <v>3.747668854</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D5:D7">
    <cfRule type="cellIs" dxfId="0" priority="1" operator="equal">
      <formula>"Down"</formula>
    </cfRule>
  </conditionalFormatting>
  <conditionalFormatting sqref="D5:D7">
    <cfRule type="cellIs" dxfId="2" priority="2" operator="equal">
      <formula>"Up"</formula>
    </cfRule>
  </conditionalFormatting>
  <conditionalFormatting sqref="G5:G7">
    <cfRule type="cellIs" dxfId="0" priority="3" operator="equal">
      <formula>"Down"</formula>
    </cfRule>
  </conditionalFormatting>
  <conditionalFormatting sqref="G5:G7">
    <cfRule type="cellIs" dxfId="2" priority="4" operator="equal">
      <formula>"Up"</formula>
    </cfRule>
  </conditionalFormatting>
  <conditionalFormatting sqref="J5:J7">
    <cfRule type="cellIs" dxfId="0" priority="5" operator="equal">
      <formula>"Down"</formula>
    </cfRule>
  </conditionalFormatting>
  <conditionalFormatting sqref="J5:J7">
    <cfRule type="cellIs" dxfId="2" priority="6" operator="equal">
      <formula>"Up"</formula>
    </cfRule>
  </conditionalFormatting>
  <conditionalFormatting sqref="M5:M7">
    <cfRule type="cellIs" dxfId="0" priority="7" operator="equal">
      <formula>"Down"</formula>
    </cfRule>
  </conditionalFormatting>
  <conditionalFormatting sqref="M5:M7">
    <cfRule type="cellIs" dxfId="2" priority="8" operator="equal">
      <formula>"Up"</formula>
    </cfRule>
  </conditionalFormatting>
  <conditionalFormatting sqref="N5:N7">
    <cfRule type="cellIs" dxfId="0" priority="9" operator="equal">
      <formula>"Deteriorating"</formula>
    </cfRule>
  </conditionalFormatting>
  <conditionalFormatting sqref="N5:N7">
    <cfRule type="cellIs" dxfId="1" priority="10" operator="equal">
      <formula>"Weakening"</formula>
    </cfRule>
  </conditionalFormatting>
  <conditionalFormatting sqref="N5:N7">
    <cfRule type="cellIs" dxfId="2" priority="11" operator="equal">
      <formula>"Stable / improving"</formula>
    </cfRule>
  </conditionalFormatting>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8.0"/>
    <col customWidth="1" min="2" max="2" width="10.0"/>
    <col customWidth="1" min="3" max="9" width="11.43"/>
    <col customWidth="1" min="10" max="10" width="18.0"/>
    <col customWidth="1" min="11" max="14" width="11.43"/>
    <col customWidth="1" min="15" max="26" width="8.71"/>
  </cols>
  <sheetData>
    <row r="1" ht="17.25" customHeight="1">
      <c r="A1" s="26" t="s">
        <v>124</v>
      </c>
    </row>
    <row r="2" ht="15.0" customHeight="1">
      <c r="A2" s="27" t="s">
        <v>125</v>
      </c>
    </row>
    <row r="3" ht="14.25" customHeight="1"/>
    <row r="4" ht="18.0" customHeight="1">
      <c r="A4" s="28" t="s">
        <v>127</v>
      </c>
    </row>
    <row r="5" ht="39.75" customHeight="1">
      <c r="A5" s="29" t="s">
        <v>128</v>
      </c>
      <c r="B5" s="29" t="s">
        <v>129</v>
      </c>
      <c r="C5" s="29" t="s">
        <v>130</v>
      </c>
      <c r="D5" s="29" t="s">
        <v>131</v>
      </c>
      <c r="E5" s="32" t="s">
        <v>132</v>
      </c>
      <c r="F5" s="34"/>
      <c r="G5" s="34"/>
      <c r="H5" s="34"/>
      <c r="I5" s="34"/>
      <c r="J5" s="36"/>
    </row>
    <row r="6" ht="15.0" customHeight="1">
      <c r="A6" s="40" t="s">
        <v>22</v>
      </c>
      <c r="B6" s="42" t="s">
        <v>133</v>
      </c>
      <c r="C6" s="43">
        <v>1.0</v>
      </c>
      <c r="D6" s="43">
        <v>1.5</v>
      </c>
      <c r="E6" s="46" t="s">
        <v>135</v>
      </c>
      <c r="F6" s="34"/>
      <c r="G6" s="34"/>
      <c r="H6" s="34"/>
      <c r="I6" s="34"/>
      <c r="J6" s="36"/>
    </row>
    <row r="7" ht="15.0" customHeight="1">
      <c r="A7" s="40" t="s">
        <v>47</v>
      </c>
      <c r="B7" s="42" t="s">
        <v>133</v>
      </c>
      <c r="C7" s="43">
        <v>0.7</v>
      </c>
      <c r="D7" s="43">
        <v>1.0</v>
      </c>
      <c r="E7" s="46" t="s">
        <v>136</v>
      </c>
      <c r="F7" s="34"/>
      <c r="G7" s="34"/>
      <c r="H7" s="34"/>
      <c r="I7" s="34"/>
      <c r="J7" s="36"/>
    </row>
    <row r="8" ht="15.0" customHeight="1">
      <c r="A8" s="40" t="s">
        <v>56</v>
      </c>
      <c r="B8" s="42" t="s">
        <v>133</v>
      </c>
      <c r="C8" s="43">
        <v>0.0</v>
      </c>
      <c r="D8" s="43">
        <v>0.1</v>
      </c>
      <c r="E8" s="46" t="s">
        <v>138</v>
      </c>
      <c r="F8" s="34"/>
      <c r="G8" s="34"/>
      <c r="H8" s="34"/>
      <c r="I8" s="34"/>
      <c r="J8" s="36"/>
    </row>
    <row r="9" ht="15.0" customHeight="1">
      <c r="A9" s="40" t="s">
        <v>140</v>
      </c>
      <c r="B9" s="42" t="s">
        <v>133</v>
      </c>
      <c r="C9" s="43">
        <v>1.5</v>
      </c>
      <c r="D9" s="43">
        <v>3.0</v>
      </c>
      <c r="E9" s="46" t="s">
        <v>141</v>
      </c>
      <c r="F9" s="34"/>
      <c r="G9" s="34"/>
      <c r="H9" s="34"/>
      <c r="I9" s="34"/>
      <c r="J9" s="36"/>
    </row>
    <row r="10" ht="15.0" customHeight="1">
      <c r="A10" s="40" t="s">
        <v>144</v>
      </c>
      <c r="B10" s="42" t="s">
        <v>146</v>
      </c>
      <c r="C10" s="43">
        <v>4.0</v>
      </c>
      <c r="D10" s="43">
        <v>3.0</v>
      </c>
      <c r="E10" s="46" t="s">
        <v>148</v>
      </c>
      <c r="F10" s="34"/>
      <c r="G10" s="34"/>
      <c r="H10" s="34"/>
      <c r="I10" s="34"/>
      <c r="J10" s="36"/>
    </row>
    <row r="11" ht="15.0" customHeight="1">
      <c r="A11" s="40" t="s">
        <v>152</v>
      </c>
      <c r="B11" s="42" t="s">
        <v>133</v>
      </c>
      <c r="C11" s="43">
        <v>0.0</v>
      </c>
      <c r="D11" s="43">
        <v>0.4</v>
      </c>
      <c r="E11" s="46" t="s">
        <v>153</v>
      </c>
      <c r="F11" s="34"/>
      <c r="G11" s="34"/>
      <c r="H11" s="34"/>
      <c r="I11" s="34"/>
      <c r="J11" s="36"/>
    </row>
    <row r="12" ht="15.0" customHeight="1">
      <c r="A12" s="40" t="s">
        <v>82</v>
      </c>
      <c r="B12" s="42" t="s">
        <v>133</v>
      </c>
      <c r="C12" s="43">
        <v>1.81</v>
      </c>
      <c r="D12" s="43">
        <v>2.99</v>
      </c>
      <c r="E12" s="46" t="s">
        <v>154</v>
      </c>
      <c r="F12" s="34"/>
      <c r="G12" s="34"/>
      <c r="H12" s="34"/>
      <c r="I12" s="34"/>
      <c r="J12" s="36"/>
    </row>
    <row r="13" ht="15.0" customHeight="1">
      <c r="A13" s="40" t="s">
        <v>87</v>
      </c>
      <c r="B13" s="42" t="s">
        <v>133</v>
      </c>
      <c r="C13" s="43">
        <v>1.1</v>
      </c>
      <c r="D13" s="43">
        <v>2.6</v>
      </c>
      <c r="E13" s="46" t="s">
        <v>155</v>
      </c>
      <c r="F13" s="34"/>
      <c r="G13" s="34"/>
      <c r="H13" s="34"/>
      <c r="I13" s="34"/>
      <c r="J13" s="36"/>
    </row>
    <row r="14" ht="14.25" customHeight="1"/>
    <row r="15" ht="15.0" customHeight="1">
      <c r="A15" s="51" t="s">
        <v>156</v>
      </c>
      <c r="C15" s="53">
        <v>0.05</v>
      </c>
      <c r="D15" s="54" t="s">
        <v>157</v>
      </c>
    </row>
    <row r="16" ht="14.25" customHeight="1"/>
    <row r="17" ht="21.0" customHeight="1">
      <c r="A17" s="56" t="str">
        <f>"COMPANY 1  -  "&amp;UPPER(Indicators!A5)</f>
        <v>COMPANY 1  -  ASIAN PAINTS</v>
      </c>
      <c r="B17" s="57"/>
      <c r="C17" s="57"/>
      <c r="D17" s="57"/>
      <c r="E17" s="57"/>
      <c r="F17" s="57"/>
      <c r="G17" s="57"/>
      <c r="H17" s="57"/>
      <c r="I17" s="57"/>
      <c r="J17" s="57"/>
      <c r="K17" s="57"/>
      <c r="L17" s="57"/>
      <c r="M17" s="57"/>
      <c r="N17" s="57"/>
    </row>
    <row r="18" ht="15.0" customHeight="1">
      <c r="A18" s="54" t="str">
        <f>"Peer benchmark for "&amp;Indicators!A5&amp;" = median of "&amp;Indicators!A9&amp;" and "&amp;Indicators!A13&amp;" (same year; own value excluded)"</f>
        <v>Peer benchmark for Asian Paints = median of Berger Paints and Kansai Nerolac (same year; own value excluded)</v>
      </c>
    </row>
    <row r="19" ht="18.0" customHeight="1">
      <c r="A19" s="28" t="s">
        <v>158</v>
      </c>
    </row>
    <row r="20" ht="37.5" customHeight="1">
      <c r="A20" s="4" t="s">
        <v>128</v>
      </c>
      <c r="B20" s="4" t="s">
        <v>159</v>
      </c>
      <c r="C20" s="4" t="str">
        <f>Inputs!B5</f>
        <v>FY23</v>
      </c>
      <c r="D20" s="4" t="str">
        <f>Inputs!B6</f>
        <v>FY24</v>
      </c>
      <c r="E20" s="4" t="str">
        <f>Inputs!B7</f>
        <v>FY25</v>
      </c>
      <c r="F20" s="4" t="str">
        <f>Inputs!B8</f>
        <v>FY26</v>
      </c>
      <c r="G20" s="60" t="s">
        <v>160</v>
      </c>
      <c r="H20" s="62" t="s">
        <v>161</v>
      </c>
      <c r="I20" s="62" t="s">
        <v>162</v>
      </c>
      <c r="J20" s="62" t="s">
        <v>163</v>
      </c>
    </row>
    <row r="21" ht="15.0" customHeight="1">
      <c r="A21" s="40" t="s">
        <v>22</v>
      </c>
      <c r="B21" s="42" t="s">
        <v>164</v>
      </c>
      <c r="C21" s="63">
        <f>Indicators!C5</f>
        <v>2.379460718</v>
      </c>
      <c r="D21" s="63">
        <f>Indicators!C6</f>
        <v>2.339364508</v>
      </c>
      <c r="E21" s="63">
        <f>Indicators!C7</f>
        <v>2.300492919</v>
      </c>
      <c r="F21" s="63">
        <f>Indicators!C8</f>
        <v>2.463106705</v>
      </c>
      <c r="G21" s="64">
        <f t="shared" ref="G21:G33" si="1">J38</f>
        <v>2.966334345</v>
      </c>
      <c r="H21" s="66">
        <f t="shared" ref="H21:H33" si="2">IFERROR(F21-G21,"")</f>
        <v>-0.5032276405</v>
      </c>
      <c r="I21" s="68">
        <f t="shared" ref="I21:I33" si="3">IFERROR((F21-G21)/ABS(G21),"")</f>
        <v>-0.1696462981</v>
      </c>
      <c r="J21" s="70" t="str">
        <f t="shared" ref="J21:J33" si="4">IF(I21="","",IF(ABS(I21)&lt;=$C$15,"In line",IF(B21="Neutral",IF(I21&gt;0,"Above peers","Below peers"),IF(OR(AND(B21="Higher",I21&gt;0),AND(B21="Lower",I21&lt;0)),"Better","Weaker"))))</f>
        <v>Weaker</v>
      </c>
    </row>
    <row r="22" ht="15.0" customHeight="1">
      <c r="A22" s="40" t="s">
        <v>47</v>
      </c>
      <c r="B22" s="42" t="s">
        <v>164</v>
      </c>
      <c r="C22" s="63">
        <f>Indicators!D5</f>
        <v>1.466860786</v>
      </c>
      <c r="D22" s="63">
        <f>Indicators!D6</f>
        <v>1.523619155</v>
      </c>
      <c r="E22" s="63">
        <f>Indicators!D7</f>
        <v>1.362418174</v>
      </c>
      <c r="F22" s="63">
        <f>Indicators!D8</f>
        <v>1.774436616</v>
      </c>
      <c r="G22" s="64">
        <f t="shared" si="1"/>
        <v>1.948605339</v>
      </c>
      <c r="H22" s="66">
        <f t="shared" si="2"/>
        <v>-0.1741687233</v>
      </c>
      <c r="I22" s="68">
        <f t="shared" si="3"/>
        <v>-0.08938122038</v>
      </c>
      <c r="J22" s="70" t="str">
        <f t="shared" si="4"/>
        <v>Weaker</v>
      </c>
    </row>
    <row r="23" ht="15.0" customHeight="1">
      <c r="A23" s="40" t="s">
        <v>173</v>
      </c>
      <c r="B23" s="42" t="s">
        <v>164</v>
      </c>
      <c r="C23" s="63">
        <f>Indicators!E5</f>
        <v>0.02682690098</v>
      </c>
      <c r="D23" s="63">
        <f>Indicators!E6</f>
        <v>0.05239663656</v>
      </c>
      <c r="E23" s="63">
        <f>Indicators!E7</f>
        <v>0.02861753303</v>
      </c>
      <c r="F23" s="63">
        <f>Indicators!E8</f>
        <v>0.05643545136</v>
      </c>
      <c r="G23" s="64">
        <f t="shared" si="1"/>
        <v>0.0969125121</v>
      </c>
      <c r="H23" s="66">
        <f t="shared" si="2"/>
        <v>-0.04047706074</v>
      </c>
      <c r="I23" s="68">
        <f t="shared" si="3"/>
        <v>-0.4176659944</v>
      </c>
      <c r="J23" s="70" t="str">
        <f t="shared" si="4"/>
        <v>Weaker</v>
      </c>
    </row>
    <row r="24" ht="15.0" customHeight="1">
      <c r="A24" s="40" t="s">
        <v>56</v>
      </c>
      <c r="B24" s="42" t="s">
        <v>164</v>
      </c>
      <c r="C24" s="63">
        <f>Indicators!G5</f>
        <v>0.357049584</v>
      </c>
      <c r="D24" s="63">
        <f>Indicators!G6</f>
        <v>0.3206924821</v>
      </c>
      <c r="E24" s="63">
        <f>Indicators!G7</f>
        <v>0.303936424</v>
      </c>
      <c r="F24" s="63">
        <f>Indicators!G8</f>
        <v>0.3407213606</v>
      </c>
      <c r="G24" s="64">
        <f t="shared" si="1"/>
        <v>0.3829247277</v>
      </c>
      <c r="H24" s="66">
        <f t="shared" si="2"/>
        <v>-0.04220336708</v>
      </c>
      <c r="I24" s="68">
        <f t="shared" si="3"/>
        <v>-0.1102132195</v>
      </c>
      <c r="J24" s="70" t="str">
        <f t="shared" si="4"/>
        <v>Weaker</v>
      </c>
    </row>
    <row r="25" ht="15.0" customHeight="1">
      <c r="A25" s="40" t="s">
        <v>181</v>
      </c>
      <c r="B25" s="42" t="s">
        <v>182</v>
      </c>
      <c r="C25" s="78">
        <f>Indicators!H5</f>
        <v>42.01861302</v>
      </c>
      <c r="D25" s="78">
        <f>Indicators!H6</f>
        <v>42.9887874</v>
      </c>
      <c r="E25" s="78">
        <f>Indicators!H7</f>
        <v>39.49242285</v>
      </c>
      <c r="F25" s="78">
        <f>Indicators!H8</f>
        <v>38.28839974</v>
      </c>
      <c r="G25" s="80">
        <f t="shared" si="1"/>
        <v>52.31627975</v>
      </c>
      <c r="H25" s="82">
        <f t="shared" si="2"/>
        <v>-14.02788001</v>
      </c>
      <c r="I25" s="68">
        <f t="shared" si="3"/>
        <v>-0.2681360387</v>
      </c>
      <c r="J25" s="70" t="str">
        <f t="shared" si="4"/>
        <v>Better</v>
      </c>
    </row>
    <row r="26" ht="15.0" customHeight="1">
      <c r="A26" s="40" t="s">
        <v>186</v>
      </c>
      <c r="B26" s="42" t="s">
        <v>182</v>
      </c>
      <c r="C26" s="78">
        <f>Indicators!I5</f>
        <v>105.9854923</v>
      </c>
      <c r="D26" s="78">
        <f>Indicators!I6</f>
        <v>107.5698617</v>
      </c>
      <c r="E26" s="78">
        <f>Indicators!I7</f>
        <v>127.1215037</v>
      </c>
      <c r="F26" s="78">
        <f>Indicators!I8</f>
        <v>103.1789893</v>
      </c>
      <c r="G26" s="80">
        <f t="shared" si="1"/>
        <v>120.2612515</v>
      </c>
      <c r="H26" s="82">
        <f t="shared" si="2"/>
        <v>-17.08226219</v>
      </c>
      <c r="I26" s="68">
        <f t="shared" si="3"/>
        <v>-0.1420429438</v>
      </c>
      <c r="J26" s="70" t="str">
        <f t="shared" si="4"/>
        <v>Better</v>
      </c>
    </row>
    <row r="27" ht="15.0" customHeight="1">
      <c r="A27" s="40" t="s">
        <v>187</v>
      </c>
      <c r="B27" s="42" t="s">
        <v>188</v>
      </c>
      <c r="C27" s="78">
        <f>Indicators!J5</f>
        <v>60.65947203</v>
      </c>
      <c r="D27" s="78">
        <f>Indicators!J6</f>
        <v>68.65359052</v>
      </c>
      <c r="E27" s="78">
        <f>Indicators!J7</f>
        <v>67.89886338</v>
      </c>
      <c r="F27" s="78">
        <f>Indicators!J8</f>
        <v>66.60439707</v>
      </c>
      <c r="G27" s="80">
        <f t="shared" si="1"/>
        <v>84.23609699</v>
      </c>
      <c r="H27" s="82">
        <f t="shared" si="2"/>
        <v>-17.63169992</v>
      </c>
      <c r="I27" s="68">
        <f t="shared" si="3"/>
        <v>-0.2093128783</v>
      </c>
      <c r="J27" s="70" t="str">
        <f t="shared" si="4"/>
        <v>Below peers</v>
      </c>
    </row>
    <row r="28" ht="15.0" customHeight="1">
      <c r="A28" s="40" t="s">
        <v>190</v>
      </c>
      <c r="B28" s="42" t="s">
        <v>182</v>
      </c>
      <c r="C28" s="78">
        <f>Indicators!K5</f>
        <v>87.34463332</v>
      </c>
      <c r="D28" s="78">
        <f>Indicators!K6</f>
        <v>81.90505854</v>
      </c>
      <c r="E28" s="78">
        <f>Indicators!K7</f>
        <v>98.71506313</v>
      </c>
      <c r="F28" s="78">
        <f>Indicators!K8</f>
        <v>74.86299201</v>
      </c>
      <c r="G28" s="80">
        <f t="shared" si="1"/>
        <v>88.34143429</v>
      </c>
      <c r="H28" s="82">
        <f t="shared" si="2"/>
        <v>-13.47844228</v>
      </c>
      <c r="I28" s="68">
        <f t="shared" si="3"/>
        <v>-0.1525721468</v>
      </c>
      <c r="J28" s="70" t="str">
        <f t="shared" si="4"/>
        <v>Better</v>
      </c>
    </row>
    <row r="29" ht="15.0" customHeight="1">
      <c r="A29" s="40" t="s">
        <v>140</v>
      </c>
      <c r="B29" s="42" t="s">
        <v>164</v>
      </c>
      <c r="C29" s="85">
        <f>Indicators!L5</f>
        <v>59.98989899</v>
      </c>
      <c r="D29" s="85">
        <f>Indicators!L6</f>
        <v>61.69173453</v>
      </c>
      <c r="E29" s="85">
        <f>Indicators!L7</f>
        <v>37.7338805</v>
      </c>
      <c r="F29" s="85">
        <f>Indicators!L8</f>
        <v>47.33003534</v>
      </c>
      <c r="G29" s="86">
        <f t="shared" si="1"/>
        <v>41.731726</v>
      </c>
      <c r="H29" s="87">
        <f t="shared" si="2"/>
        <v>5.598309336</v>
      </c>
      <c r="I29" s="68">
        <f t="shared" si="3"/>
        <v>0.1341499591</v>
      </c>
      <c r="J29" s="70" t="str">
        <f t="shared" si="4"/>
        <v>Better</v>
      </c>
    </row>
    <row r="30" ht="15.0" customHeight="1">
      <c r="A30" s="40" t="s">
        <v>144</v>
      </c>
      <c r="B30" s="42" t="s">
        <v>182</v>
      </c>
      <c r="C30" s="63">
        <f>Indicators!M5</f>
        <v>1.095573236</v>
      </c>
      <c r="D30" s="63">
        <f>Indicators!M6</f>
        <v>0.962044316</v>
      </c>
      <c r="E30" s="63">
        <f>Indicators!M7</f>
        <v>1.21509598</v>
      </c>
      <c r="F30" s="63">
        <f>Indicators!M8</f>
        <v>1.307820889</v>
      </c>
      <c r="G30" s="64">
        <f t="shared" si="1"/>
        <v>1.501764664</v>
      </c>
      <c r="H30" s="66">
        <f t="shared" si="2"/>
        <v>-0.1939437751</v>
      </c>
      <c r="I30" s="68">
        <f t="shared" si="3"/>
        <v>-0.1291439196</v>
      </c>
      <c r="J30" s="70" t="str">
        <f t="shared" si="4"/>
        <v>Better</v>
      </c>
    </row>
    <row r="31" ht="15.0" customHeight="1">
      <c r="A31" s="40" t="s">
        <v>152</v>
      </c>
      <c r="B31" s="42" t="s">
        <v>164</v>
      </c>
      <c r="C31" s="63">
        <f>Indicators!N5</f>
        <v>0.723943918</v>
      </c>
      <c r="D31" s="63">
        <f>Indicators!N6</f>
        <v>0.9223325473</v>
      </c>
      <c r="E31" s="63">
        <f>Indicators!N7</f>
        <v>0.6615059614</v>
      </c>
      <c r="F31" s="63">
        <f>Indicators!N8</f>
        <v>0.9650379396</v>
      </c>
      <c r="G31" s="64">
        <f t="shared" si="1"/>
        <v>0.6237546651</v>
      </c>
      <c r="H31" s="66">
        <f t="shared" si="2"/>
        <v>0.3412832744</v>
      </c>
      <c r="I31" s="68">
        <f t="shared" si="3"/>
        <v>0.547143442</v>
      </c>
      <c r="J31" s="70" t="str">
        <f t="shared" si="4"/>
        <v>Better</v>
      </c>
    </row>
    <row r="32" ht="15.0" customHeight="1">
      <c r="A32" s="40" t="s">
        <v>82</v>
      </c>
      <c r="B32" s="42" t="s">
        <v>164</v>
      </c>
      <c r="C32" s="63">
        <f>Indicators!O5</f>
        <v>25.474303</v>
      </c>
      <c r="D32" s="63">
        <f>Indicators!O6</f>
        <v>25.4103095</v>
      </c>
      <c r="E32" s="63">
        <f>Indicators!O7</f>
        <v>20.35349187</v>
      </c>
      <c r="F32" s="63">
        <f>Indicators!O8</f>
        <v>17.53207012</v>
      </c>
      <c r="G32" s="64">
        <f t="shared" si="1"/>
        <v>13.53319264</v>
      </c>
      <c r="H32" s="66">
        <f t="shared" si="2"/>
        <v>3.998877479</v>
      </c>
      <c r="I32" s="68">
        <f t="shared" si="3"/>
        <v>0.2954866294</v>
      </c>
      <c r="J32" s="70" t="str">
        <f t="shared" si="4"/>
        <v>Better</v>
      </c>
    </row>
    <row r="33" ht="15.0" customHeight="1">
      <c r="A33" s="40" t="s">
        <v>87</v>
      </c>
      <c r="B33" s="42" t="s">
        <v>164</v>
      </c>
      <c r="C33" s="63">
        <f>Indicators!P5</f>
        <v>8.605288108</v>
      </c>
      <c r="D33" s="63">
        <f>Indicators!P6</f>
        <v>8.805307282</v>
      </c>
      <c r="E33" s="63">
        <f>Indicators!P7</f>
        <v>8.262605626</v>
      </c>
      <c r="F33" s="63">
        <f>Indicators!P8</f>
        <v>8.168674101</v>
      </c>
      <c r="G33" s="64">
        <f t="shared" si="1"/>
        <v>9.032938128</v>
      </c>
      <c r="H33" s="66">
        <f t="shared" si="2"/>
        <v>-0.8642640277</v>
      </c>
      <c r="I33" s="68">
        <f t="shared" si="3"/>
        <v>-0.09567917054</v>
      </c>
      <c r="J33" s="70" t="str">
        <f t="shared" si="4"/>
        <v>Weaker</v>
      </c>
    </row>
    <row r="34" ht="14.25" customHeight="1"/>
    <row r="35" ht="18.0" customHeight="1">
      <c r="A35" s="28" t="s">
        <v>192</v>
      </c>
    </row>
    <row r="36" ht="18.0" customHeight="1">
      <c r="A36" s="4"/>
      <c r="B36" s="4"/>
      <c r="C36" s="88" t="s">
        <v>193</v>
      </c>
      <c r="D36" s="34"/>
      <c r="E36" s="34"/>
      <c r="F36" s="36"/>
      <c r="G36" s="89" t="s">
        <v>194</v>
      </c>
      <c r="H36" s="34"/>
      <c r="I36" s="34"/>
      <c r="J36" s="36"/>
      <c r="K36" s="90" t="s">
        <v>195</v>
      </c>
      <c r="L36" s="34"/>
      <c r="M36" s="34"/>
      <c r="N36" s="36"/>
    </row>
    <row r="37" ht="18.0" customHeight="1">
      <c r="A37" s="4" t="s">
        <v>128</v>
      </c>
      <c r="B37" s="4" t="s">
        <v>159</v>
      </c>
      <c r="C37" s="4" t="str">
        <f>Inputs!B5</f>
        <v>FY23</v>
      </c>
      <c r="D37" s="4" t="str">
        <f>Inputs!B6</f>
        <v>FY24</v>
      </c>
      <c r="E37" s="4" t="str">
        <f>Inputs!B7</f>
        <v>FY25</v>
      </c>
      <c r="F37" s="4" t="str">
        <f>Inputs!B8</f>
        <v>FY26</v>
      </c>
      <c r="G37" s="60" t="str">
        <f>Inputs!B5</f>
        <v>FY23</v>
      </c>
      <c r="H37" s="60" t="str">
        <f>Inputs!B6</f>
        <v>FY24</v>
      </c>
      <c r="I37" s="60" t="str">
        <f>Inputs!B7</f>
        <v>FY25</v>
      </c>
      <c r="J37" s="60" t="str">
        <f>Inputs!B8</f>
        <v>FY26</v>
      </c>
      <c r="K37" s="62" t="str">
        <f>Inputs!B5</f>
        <v>FY23</v>
      </c>
      <c r="L37" s="62" t="str">
        <f>Inputs!B6</f>
        <v>FY24</v>
      </c>
      <c r="M37" s="62" t="str">
        <f>Inputs!B7</f>
        <v>FY25</v>
      </c>
      <c r="N37" s="62" t="str">
        <f>Inputs!B8</f>
        <v>FY26</v>
      </c>
    </row>
    <row r="38" ht="15.0" customHeight="1">
      <c r="A38" s="40" t="s">
        <v>22</v>
      </c>
      <c r="B38" s="42" t="s">
        <v>164</v>
      </c>
      <c r="C38" s="63">
        <f>Indicators!C5</f>
        <v>2.379460718</v>
      </c>
      <c r="D38" s="63">
        <f>Indicators!C6</f>
        <v>2.339364508</v>
      </c>
      <c r="E38" s="63">
        <f>Indicators!C7</f>
        <v>2.300492919</v>
      </c>
      <c r="F38" s="63">
        <f>Indicators!C8</f>
        <v>2.463106705</v>
      </c>
      <c r="G38" s="91">
        <f>IFERROR(MEDIAN(Indicators!C9,Indicators!C13),"")</f>
        <v>2.091843102</v>
      </c>
      <c r="H38" s="91">
        <f>IFERROR(MEDIAN(Indicators!C10,Indicators!C14),"")</f>
        <v>2.631201735</v>
      </c>
      <c r="I38" s="91">
        <f>IFERROR(MEDIAN(Indicators!C11,Indicators!C15),"")</f>
        <v>3.050353445</v>
      </c>
      <c r="J38" s="91">
        <f>IFERROR(MEDIAN(Indicators!C12,Indicators!C16),"")</f>
        <v>2.966334345</v>
      </c>
      <c r="K38" s="68">
        <f t="shared" ref="K38:N38" si="5">IFERROR((C38-G38)/ABS(G38),"")</f>
        <v>0.1374948324</v>
      </c>
      <c r="L38" s="68">
        <f t="shared" si="5"/>
        <v>-0.1109140445</v>
      </c>
      <c r="M38" s="68">
        <f t="shared" si="5"/>
        <v>-0.2458274229</v>
      </c>
      <c r="N38" s="68">
        <f t="shared" si="5"/>
        <v>-0.1696462981</v>
      </c>
    </row>
    <row r="39" ht="15.0" customHeight="1">
      <c r="A39" s="40" t="s">
        <v>47</v>
      </c>
      <c r="B39" s="42" t="s">
        <v>164</v>
      </c>
      <c r="C39" s="63">
        <f>Indicators!D5</f>
        <v>1.466860786</v>
      </c>
      <c r="D39" s="63">
        <f>Indicators!D6</f>
        <v>1.523619155</v>
      </c>
      <c r="E39" s="63">
        <f>Indicators!D7</f>
        <v>1.362418174</v>
      </c>
      <c r="F39" s="63">
        <f>Indicators!D8</f>
        <v>1.774436616</v>
      </c>
      <c r="G39" s="91">
        <f>IFERROR(MEDIAN(Indicators!D9,Indicators!D13),"")</f>
        <v>1.034934951</v>
      </c>
      <c r="H39" s="91">
        <f>IFERROR(MEDIAN(Indicators!D10,Indicators!D14),"")</f>
        <v>1.520643819</v>
      </c>
      <c r="I39" s="91">
        <f>IFERROR(MEDIAN(Indicators!D11,Indicators!D15),"")</f>
        <v>1.869534882</v>
      </c>
      <c r="J39" s="91">
        <f>IFERROR(MEDIAN(Indicators!D12,Indicators!D16),"")</f>
        <v>1.948605339</v>
      </c>
      <c r="K39" s="68">
        <f t="shared" ref="K39:N39" si="6">IFERROR((C39-G39)/ABS(G39),"")</f>
        <v>0.417345877</v>
      </c>
      <c r="L39" s="68">
        <f t="shared" si="6"/>
        <v>0.001956629284</v>
      </c>
      <c r="M39" s="68">
        <f t="shared" si="6"/>
        <v>-0.2712528728</v>
      </c>
      <c r="N39" s="68">
        <f t="shared" si="6"/>
        <v>-0.08938122038</v>
      </c>
    </row>
    <row r="40" ht="15.0" customHeight="1">
      <c r="A40" s="40" t="s">
        <v>173</v>
      </c>
      <c r="B40" s="42" t="s">
        <v>164</v>
      </c>
      <c r="C40" s="63">
        <f>Indicators!E5</f>
        <v>0.02682690098</v>
      </c>
      <c r="D40" s="63">
        <f>Indicators!E6</f>
        <v>0.05239663656</v>
      </c>
      <c r="E40" s="63">
        <f>Indicators!E7</f>
        <v>0.02861753303</v>
      </c>
      <c r="F40" s="63">
        <f>Indicators!E8</f>
        <v>0.05643545136</v>
      </c>
      <c r="G40" s="91">
        <f>IFERROR(MEDIAN(Indicators!E9,Indicators!E13),"")</f>
        <v>0.04661796396</v>
      </c>
      <c r="H40" s="91">
        <f>IFERROR(MEDIAN(Indicators!E10,Indicators!E14),"")</f>
        <v>0.09888736323</v>
      </c>
      <c r="I40" s="91">
        <f>IFERROR(MEDIAN(Indicators!E11,Indicators!E15),"")</f>
        <v>0.06889469542</v>
      </c>
      <c r="J40" s="91">
        <f>IFERROR(MEDIAN(Indicators!E12,Indicators!E16),"")</f>
        <v>0.0969125121</v>
      </c>
      <c r="K40" s="68">
        <f t="shared" ref="K40:N40" si="7">IFERROR((C40-G40)/ABS(G40),"")</f>
        <v>-0.4245372663</v>
      </c>
      <c r="L40" s="68">
        <f t="shared" si="7"/>
        <v>-0.4701381971</v>
      </c>
      <c r="M40" s="68">
        <f t="shared" si="7"/>
        <v>-0.5846192097</v>
      </c>
      <c r="N40" s="68">
        <f t="shared" si="7"/>
        <v>-0.4176659944</v>
      </c>
    </row>
    <row r="41" ht="15.0" customHeight="1">
      <c r="A41" s="40" t="s">
        <v>56</v>
      </c>
      <c r="B41" s="42" t="s">
        <v>164</v>
      </c>
      <c r="C41" s="63">
        <f>Indicators!G5</f>
        <v>0.357049584</v>
      </c>
      <c r="D41" s="63">
        <f>Indicators!G6</f>
        <v>0.3206924821</v>
      </c>
      <c r="E41" s="63">
        <f>Indicators!G7</f>
        <v>0.303936424</v>
      </c>
      <c r="F41" s="63">
        <f>Indicators!G8</f>
        <v>0.3407213606</v>
      </c>
      <c r="G41" s="91">
        <f>IFERROR(MEDIAN(Indicators!G9,Indicators!G13),"")</f>
        <v>0.2513336967</v>
      </c>
      <c r="H41" s="91">
        <f>IFERROR(MEDIAN(Indicators!G10,Indicators!G14),"")</f>
        <v>0.3305602575</v>
      </c>
      <c r="I41" s="91">
        <f>IFERROR(MEDIAN(Indicators!G11,Indicators!G15),"")</f>
        <v>0.3751937685</v>
      </c>
      <c r="J41" s="91">
        <f>IFERROR(MEDIAN(Indicators!G12,Indicators!G16),"")</f>
        <v>0.3829247277</v>
      </c>
      <c r="K41" s="68">
        <f t="shared" ref="K41:N41" si="8">IFERROR((C41-G41)/ABS(G41),"")</f>
        <v>0.4206196331</v>
      </c>
      <c r="L41" s="68">
        <f t="shared" si="8"/>
        <v>-0.02985166922</v>
      </c>
      <c r="M41" s="68">
        <f t="shared" si="8"/>
        <v>-0.1899214499</v>
      </c>
      <c r="N41" s="68">
        <f t="shared" si="8"/>
        <v>-0.1102132195</v>
      </c>
    </row>
    <row r="42" ht="15.0" customHeight="1">
      <c r="A42" s="40" t="s">
        <v>181</v>
      </c>
      <c r="B42" s="42" t="s">
        <v>182</v>
      </c>
      <c r="C42" s="78">
        <f>Indicators!H5</f>
        <v>42.01861302</v>
      </c>
      <c r="D42" s="78">
        <f>Indicators!H6</f>
        <v>42.9887874</v>
      </c>
      <c r="E42" s="78">
        <f>Indicators!H7</f>
        <v>39.49242285</v>
      </c>
      <c r="F42" s="78">
        <f>Indicators!H8</f>
        <v>38.28839974</v>
      </c>
      <c r="G42" s="92">
        <f>IFERROR(MEDIAN(Indicators!H9,Indicators!H13),"")</f>
        <v>47.4998786</v>
      </c>
      <c r="H42" s="92">
        <f>IFERROR(MEDIAN(Indicators!H10,Indicators!H14),"")</f>
        <v>47.86648478</v>
      </c>
      <c r="I42" s="92">
        <f>IFERROR(MEDIAN(Indicators!H11,Indicators!H15),"")</f>
        <v>51.20960779</v>
      </c>
      <c r="J42" s="92">
        <f>IFERROR(MEDIAN(Indicators!H12,Indicators!H16),"")</f>
        <v>52.31627975</v>
      </c>
      <c r="K42" s="68">
        <f t="shared" ref="K42:N42" si="9">IFERROR((C42-G42)/ABS(G42),"")</f>
        <v>-0.1153953597</v>
      </c>
      <c r="L42" s="68">
        <f t="shared" si="9"/>
        <v>-0.101902143</v>
      </c>
      <c r="M42" s="68">
        <f t="shared" si="9"/>
        <v>-0.228808332</v>
      </c>
      <c r="N42" s="68">
        <f t="shared" si="9"/>
        <v>-0.2681360387</v>
      </c>
    </row>
    <row r="43" ht="15.0" customHeight="1">
      <c r="A43" s="40" t="s">
        <v>186</v>
      </c>
      <c r="B43" s="42" t="s">
        <v>182</v>
      </c>
      <c r="C43" s="78">
        <f>Indicators!I5</f>
        <v>105.9854923</v>
      </c>
      <c r="D43" s="78">
        <f>Indicators!I6</f>
        <v>107.5698617</v>
      </c>
      <c r="E43" s="78">
        <f>Indicators!I7</f>
        <v>127.1215037</v>
      </c>
      <c r="F43" s="78">
        <f>Indicators!I8</f>
        <v>103.1789893</v>
      </c>
      <c r="G43" s="92">
        <f>IFERROR(MEDIAN(Indicators!I9,Indicators!I13),"")</f>
        <v>125.0378052</v>
      </c>
      <c r="H43" s="92">
        <f>IFERROR(MEDIAN(Indicators!I10,Indicators!I14),"")</f>
        <v>123.2235847</v>
      </c>
      <c r="I43" s="92">
        <f>IFERROR(MEDIAN(Indicators!I11,Indicators!I15),"")</f>
        <v>126.6798302</v>
      </c>
      <c r="J43" s="92">
        <f>IFERROR(MEDIAN(Indicators!I12,Indicators!I16),"")</f>
        <v>120.2612515</v>
      </c>
      <c r="K43" s="68">
        <f t="shared" ref="K43:N43" si="10">IFERROR((C43-G43)/ABS(G43),"")</f>
        <v>-0.1523724191</v>
      </c>
      <c r="L43" s="68">
        <f t="shared" si="10"/>
        <v>-0.1270351216</v>
      </c>
      <c r="M43" s="68">
        <f t="shared" si="10"/>
        <v>0.003486533359</v>
      </c>
      <c r="N43" s="68">
        <f t="shared" si="10"/>
        <v>-0.1420429438</v>
      </c>
    </row>
    <row r="44" ht="15.0" customHeight="1">
      <c r="A44" s="40" t="s">
        <v>187</v>
      </c>
      <c r="B44" s="42" t="s">
        <v>188</v>
      </c>
      <c r="C44" s="78">
        <f>Indicators!J5</f>
        <v>60.65947203</v>
      </c>
      <c r="D44" s="78">
        <f>Indicators!J6</f>
        <v>68.65359052</v>
      </c>
      <c r="E44" s="78">
        <f>Indicators!J7</f>
        <v>67.89886338</v>
      </c>
      <c r="F44" s="78">
        <f>Indicators!J8</f>
        <v>66.60439707</v>
      </c>
      <c r="G44" s="92">
        <f>IFERROR(MEDIAN(Indicators!J9,Indicators!J13),"")</f>
        <v>84.72646763</v>
      </c>
      <c r="H44" s="92">
        <f>IFERROR(MEDIAN(Indicators!J10,Indicators!J14),"")</f>
        <v>86.83201084</v>
      </c>
      <c r="I44" s="92">
        <f>IFERROR(MEDIAN(Indicators!J11,Indicators!J15),"")</f>
        <v>85.53762381</v>
      </c>
      <c r="J44" s="92">
        <f>IFERROR(MEDIAN(Indicators!J12,Indicators!J16),"")</f>
        <v>84.23609699</v>
      </c>
      <c r="K44" s="68">
        <f t="shared" ref="K44:N44" si="11">IFERROR((C44-G44)/ABS(G44),"")</f>
        <v>-0.2840552224</v>
      </c>
      <c r="L44" s="68">
        <f t="shared" si="11"/>
        <v>-0.2093515991</v>
      </c>
      <c r="M44" s="68">
        <f t="shared" si="11"/>
        <v>-0.2062105498</v>
      </c>
      <c r="N44" s="68">
        <f t="shared" si="11"/>
        <v>-0.2093128783</v>
      </c>
    </row>
    <row r="45" ht="15.0" customHeight="1">
      <c r="A45" s="40" t="s">
        <v>190</v>
      </c>
      <c r="B45" s="42" t="s">
        <v>182</v>
      </c>
      <c r="C45" s="78">
        <f>Indicators!K5</f>
        <v>87.34463332</v>
      </c>
      <c r="D45" s="78">
        <f>Indicators!K6</f>
        <v>81.90505854</v>
      </c>
      <c r="E45" s="78">
        <f>Indicators!K7</f>
        <v>98.71506313</v>
      </c>
      <c r="F45" s="78">
        <f>Indicators!K8</f>
        <v>74.86299201</v>
      </c>
      <c r="G45" s="92">
        <f>IFERROR(MEDIAN(Indicators!K9,Indicators!K13),"")</f>
        <v>87.81121614</v>
      </c>
      <c r="H45" s="92">
        <f>IFERROR(MEDIAN(Indicators!K10,Indicators!K14),"")</f>
        <v>84.25805866</v>
      </c>
      <c r="I45" s="92">
        <f>IFERROR(MEDIAN(Indicators!K11,Indicators!K15),"")</f>
        <v>92.35181418</v>
      </c>
      <c r="J45" s="92">
        <f>IFERROR(MEDIAN(Indicators!K12,Indicators!K16),"")</f>
        <v>88.34143429</v>
      </c>
      <c r="K45" s="68">
        <f t="shared" ref="K45:N45" si="12">IFERROR((C45-G45)/ABS(G45),"")</f>
        <v>-0.005313476374</v>
      </c>
      <c r="L45" s="68">
        <f t="shared" si="12"/>
        <v>-0.02792611373</v>
      </c>
      <c r="M45" s="68">
        <f t="shared" si="12"/>
        <v>0.06890226255</v>
      </c>
      <c r="N45" s="68">
        <f t="shared" si="12"/>
        <v>-0.1525721468</v>
      </c>
    </row>
    <row r="46" ht="15.0" customHeight="1">
      <c r="A46" s="40" t="s">
        <v>140</v>
      </c>
      <c r="B46" s="42" t="s">
        <v>164</v>
      </c>
      <c r="C46" s="85">
        <f>Indicators!L5</f>
        <v>59.98989899</v>
      </c>
      <c r="D46" s="85">
        <f>Indicators!L6</f>
        <v>61.69173453</v>
      </c>
      <c r="E46" s="85">
        <f>Indicators!L7</f>
        <v>37.7338805</v>
      </c>
      <c r="F46" s="85">
        <f>Indicators!L8</f>
        <v>47.33003534</v>
      </c>
      <c r="G46" s="93">
        <f>IFERROR(MEDIAN(Indicators!L9,Indicators!L13),"")</f>
        <v>40.81070641</v>
      </c>
      <c r="H46" s="93">
        <f>IFERROR(MEDIAN(Indicators!L10,Indicators!L14),"")</f>
        <v>48.63563093</v>
      </c>
      <c r="I46" s="93">
        <f>IFERROR(MEDIAN(Indicators!L11,Indicators!L15),"")</f>
        <v>46.01406923</v>
      </c>
      <c r="J46" s="93">
        <f>IFERROR(MEDIAN(Indicators!L12,Indicators!L16),"")</f>
        <v>41.731726</v>
      </c>
      <c r="K46" s="68">
        <f t="shared" ref="K46:N46" si="13">IFERROR((C46-G46)/ABS(G46),"")</f>
        <v>0.4699549276</v>
      </c>
      <c r="L46" s="68">
        <f t="shared" si="13"/>
        <v>0.268447296</v>
      </c>
      <c r="M46" s="68">
        <f t="shared" si="13"/>
        <v>-0.1799490648</v>
      </c>
      <c r="N46" s="68">
        <f t="shared" si="13"/>
        <v>0.1341499591</v>
      </c>
    </row>
    <row r="47" ht="15.0" customHeight="1">
      <c r="A47" s="40" t="s">
        <v>144</v>
      </c>
      <c r="B47" s="42" t="s">
        <v>182</v>
      </c>
      <c r="C47" s="63">
        <f>Indicators!M5</f>
        <v>1.095573236</v>
      </c>
      <c r="D47" s="63">
        <f>Indicators!M6</f>
        <v>0.962044316</v>
      </c>
      <c r="E47" s="63">
        <f>Indicators!M7</f>
        <v>1.21509598</v>
      </c>
      <c r="F47" s="63">
        <f>Indicators!M8</f>
        <v>1.307820889</v>
      </c>
      <c r="G47" s="91">
        <f>IFERROR(MEDIAN(Indicators!M9,Indicators!M13),"")</f>
        <v>1.980817246</v>
      </c>
      <c r="H47" s="91">
        <f>IFERROR(MEDIAN(Indicators!M10,Indicators!M14),"")</f>
        <v>1.449177346</v>
      </c>
      <c r="I47" s="91">
        <f>IFERROR(MEDIAN(Indicators!M11,Indicators!M15),"")</f>
        <v>1.41266122</v>
      </c>
      <c r="J47" s="91">
        <f>IFERROR(MEDIAN(Indicators!M12,Indicators!M16),"")</f>
        <v>1.501764664</v>
      </c>
      <c r="K47" s="68">
        <f t="shared" ref="K47:N47" si="14">IFERROR((C47-G47)/ABS(G47),"")</f>
        <v>-0.4469084726</v>
      </c>
      <c r="L47" s="68">
        <f t="shared" si="14"/>
        <v>-0.3361445247</v>
      </c>
      <c r="M47" s="68">
        <f t="shared" si="14"/>
        <v>-0.1398532339</v>
      </c>
      <c r="N47" s="68">
        <f t="shared" si="14"/>
        <v>-0.1291439196</v>
      </c>
    </row>
    <row r="48" ht="15.0" customHeight="1">
      <c r="A48" s="40" t="s">
        <v>152</v>
      </c>
      <c r="B48" s="42" t="s">
        <v>164</v>
      </c>
      <c r="C48" s="63">
        <f>Indicators!N5</f>
        <v>0.723943918</v>
      </c>
      <c r="D48" s="63">
        <f>Indicators!N6</f>
        <v>0.9223325473</v>
      </c>
      <c r="E48" s="63">
        <f>Indicators!N7</f>
        <v>0.6615059614</v>
      </c>
      <c r="F48" s="63">
        <f>Indicators!N8</f>
        <v>0.9650379396</v>
      </c>
      <c r="G48" s="91">
        <f>IFERROR(MEDIAN(Indicators!N9,Indicators!N13),"")</f>
        <v>0.3276745616</v>
      </c>
      <c r="H48" s="91">
        <f>IFERROR(MEDIAN(Indicators!N10,Indicators!N14),"")</f>
        <v>0.7045869222</v>
      </c>
      <c r="I48" s="91">
        <f>IFERROR(MEDIAN(Indicators!N11,Indicators!N15),"")</f>
        <v>0.5331950477</v>
      </c>
      <c r="J48" s="91">
        <f>IFERROR(MEDIAN(Indicators!N12,Indicators!N16),"")</f>
        <v>0.6237546651</v>
      </c>
      <c r="K48" s="68">
        <f t="shared" ref="K48:N48" si="15">IFERROR((C48-G48)/ABS(G48),"")</f>
        <v>1.209338175</v>
      </c>
      <c r="L48" s="68">
        <f t="shared" si="15"/>
        <v>0.3090401172</v>
      </c>
      <c r="M48" s="68">
        <f t="shared" si="15"/>
        <v>0.2406453589</v>
      </c>
      <c r="N48" s="68">
        <f t="shared" si="15"/>
        <v>0.547143442</v>
      </c>
    </row>
    <row r="49" ht="15.0" customHeight="1">
      <c r="A49" s="40" t="s">
        <v>82</v>
      </c>
      <c r="B49" s="42" t="s">
        <v>164</v>
      </c>
      <c r="C49" s="63">
        <f>Indicators!O5</f>
        <v>25.474303</v>
      </c>
      <c r="D49" s="63">
        <f>Indicators!O6</f>
        <v>25.4103095</v>
      </c>
      <c r="E49" s="63">
        <f>Indicators!O7</f>
        <v>20.35349187</v>
      </c>
      <c r="F49" s="63">
        <f>Indicators!O8</f>
        <v>17.53207012</v>
      </c>
      <c r="G49" s="91">
        <f>IFERROR(MEDIAN(Indicators!O9,Indicators!O13),"")</f>
        <v>14.60922011</v>
      </c>
      <c r="H49" s="91">
        <f>IFERROR(MEDIAN(Indicators!O10,Indicators!O14),"")</f>
        <v>14.64621823</v>
      </c>
      <c r="I49" s="91">
        <f>IFERROR(MEDIAN(Indicators!O11,Indicators!O15),"")</f>
        <v>13.19213427</v>
      </c>
      <c r="J49" s="91">
        <f>IFERROR(MEDIAN(Indicators!O12,Indicators!O16),"")</f>
        <v>13.53319264</v>
      </c>
      <c r="K49" s="68">
        <f t="shared" ref="K49:N49" si="16">IFERROR((C49-G49)/ABS(G49),"")</f>
        <v>0.7437140936</v>
      </c>
      <c r="L49" s="68">
        <f t="shared" si="16"/>
        <v>0.7349399764</v>
      </c>
      <c r="M49" s="68">
        <f t="shared" si="16"/>
        <v>0.5428505698</v>
      </c>
      <c r="N49" s="68">
        <f t="shared" si="16"/>
        <v>0.2954866294</v>
      </c>
    </row>
    <row r="50" ht="15.0" customHeight="1">
      <c r="A50" s="40" t="s">
        <v>87</v>
      </c>
      <c r="B50" s="42" t="s">
        <v>164</v>
      </c>
      <c r="C50" s="63">
        <f>Indicators!P5</f>
        <v>8.605288108</v>
      </c>
      <c r="D50" s="63">
        <f>Indicators!P6</f>
        <v>8.805307282</v>
      </c>
      <c r="E50" s="63">
        <f>Indicators!P7</f>
        <v>8.262605626</v>
      </c>
      <c r="F50" s="63">
        <f>Indicators!P8</f>
        <v>8.168674101</v>
      </c>
      <c r="G50" s="91">
        <f>IFERROR(MEDIAN(Indicators!P9,Indicators!P13),"")</f>
        <v>7.074398007</v>
      </c>
      <c r="H50" s="91">
        <f>IFERROR(MEDIAN(Indicators!P10,Indicators!P14),"")</f>
        <v>8.454943718</v>
      </c>
      <c r="I50" s="91">
        <f>IFERROR(MEDIAN(Indicators!P11,Indicators!P15),"")</f>
        <v>9.132898516</v>
      </c>
      <c r="J50" s="91">
        <f>IFERROR(MEDIAN(Indicators!P12,Indicators!P16),"")</f>
        <v>9.032938128</v>
      </c>
      <c r="K50" s="68">
        <f t="shared" ref="K50:N50" si="17">IFERROR((C50-G50)/ABS(G50),"")</f>
        <v>0.2163986392</v>
      </c>
      <c r="L50" s="68">
        <f t="shared" si="17"/>
        <v>0.04143889954</v>
      </c>
      <c r="M50" s="68">
        <f t="shared" si="17"/>
        <v>-0.09529207939</v>
      </c>
      <c r="N50" s="68">
        <f t="shared" si="17"/>
        <v>-0.09567917054</v>
      </c>
    </row>
    <row r="51" ht="14.25" customHeight="1"/>
    <row r="52" ht="18.0" customHeight="1">
      <c r="A52" s="28" t="s">
        <v>196</v>
      </c>
    </row>
    <row r="53" ht="31.5" customHeight="1">
      <c r="A53" s="4" t="s">
        <v>128</v>
      </c>
      <c r="B53" s="29" t="s">
        <v>129</v>
      </c>
      <c r="C53" s="4" t="str">
        <f>"Company "&amp;Inputs!B8</f>
        <v>Company FY26</v>
      </c>
      <c r="D53" s="29" t="s">
        <v>197</v>
      </c>
      <c r="E53" s="29" t="s">
        <v>198</v>
      </c>
      <c r="F53" s="29" t="s">
        <v>199</v>
      </c>
      <c r="G53" s="29" t="s">
        <v>200</v>
      </c>
    </row>
    <row r="54" ht="15.0" customHeight="1">
      <c r="A54" s="40" t="str">
        <f>$A$6</f>
        <v>Current ratio</v>
      </c>
      <c r="B54" s="42" t="str">
        <f>$B$6</f>
        <v>Below</v>
      </c>
      <c r="C54" s="94">
        <f>Indicators!C8</f>
        <v>2.463106705</v>
      </c>
      <c r="D54" s="95">
        <f>$C$6</f>
        <v>1</v>
      </c>
      <c r="E54" s="95">
        <f>$D$6</f>
        <v>1.5</v>
      </c>
      <c r="F54" s="66">
        <f t="shared" ref="F54:F61" si="18">IFERROR(IF(B54="Below",C54-D54,IF(C54&lt;0,C54,D54-C54)),"")</f>
        <v>1.463106705</v>
      </c>
      <c r="G54" s="70" t="str">
        <f t="shared" ref="G54:G61" si="19">IF(C54="","",IF(B54="Below",IF(C54&lt;D54,"Distress",IF(C54&lt;E54,"Watch","Safe")),IF(OR(C54&lt;0,C54&gt;D54),"Distress",IF(C54&gt;E54,"Watch","Safe"))))</f>
        <v>Safe</v>
      </c>
    </row>
    <row r="55" ht="15.0" customHeight="1">
      <c r="A55" s="40" t="str">
        <f>$A$7</f>
        <v>Quick ratio</v>
      </c>
      <c r="B55" s="42" t="str">
        <f>$B$7</f>
        <v>Below</v>
      </c>
      <c r="C55" s="94">
        <f>Indicators!D8</f>
        <v>1.774436616</v>
      </c>
      <c r="D55" s="95">
        <f>$C$7</f>
        <v>0.7</v>
      </c>
      <c r="E55" s="95">
        <f>$D$7</f>
        <v>1</v>
      </c>
      <c r="F55" s="66">
        <f t="shared" si="18"/>
        <v>1.074436616</v>
      </c>
      <c r="G55" s="70" t="str">
        <f t="shared" si="19"/>
        <v>Safe</v>
      </c>
    </row>
    <row r="56" ht="15.0" customHeight="1">
      <c r="A56" s="40" t="str">
        <f>$A$8</f>
        <v>WC / Total assets</v>
      </c>
      <c r="B56" s="42" t="str">
        <f>$B$8</f>
        <v>Below</v>
      </c>
      <c r="C56" s="94">
        <f>Indicators!G8</f>
        <v>0.3407213606</v>
      </c>
      <c r="D56" s="95">
        <f>$C$8</f>
        <v>0</v>
      </c>
      <c r="E56" s="95">
        <f>$D$8</f>
        <v>0.1</v>
      </c>
      <c r="F56" s="66">
        <f t="shared" si="18"/>
        <v>0.3407213606</v>
      </c>
      <c r="G56" s="70" t="str">
        <f t="shared" si="19"/>
        <v>Safe</v>
      </c>
    </row>
    <row r="57" ht="15.0" customHeight="1">
      <c r="A57" s="40" t="str">
        <f>$A$9</f>
        <v>Interest coverage (x)</v>
      </c>
      <c r="B57" s="42" t="str">
        <f>$B$9</f>
        <v>Below</v>
      </c>
      <c r="C57" s="96">
        <f>Indicators!L8</f>
        <v>47.33003534</v>
      </c>
      <c r="D57" s="95">
        <f>$C$9</f>
        <v>1.5</v>
      </c>
      <c r="E57" s="95">
        <f>$D$9</f>
        <v>3</v>
      </c>
      <c r="F57" s="66">
        <f t="shared" si="18"/>
        <v>45.83003534</v>
      </c>
      <c r="G57" s="70" t="str">
        <f t="shared" si="19"/>
        <v>Safe</v>
      </c>
    </row>
    <row r="58" ht="15.0" customHeight="1">
      <c r="A58" s="40" t="str">
        <f>$A$10</f>
        <v>Liabilities / EBITDA (x)</v>
      </c>
      <c r="B58" s="42" t="str">
        <f>$B$10</f>
        <v>Above</v>
      </c>
      <c r="C58" s="94">
        <f>Indicators!M8</f>
        <v>1.307820889</v>
      </c>
      <c r="D58" s="95">
        <f>$C$10</f>
        <v>4</v>
      </c>
      <c r="E58" s="95">
        <f>$D$10</f>
        <v>3</v>
      </c>
      <c r="F58" s="66">
        <f t="shared" si="18"/>
        <v>2.692179111</v>
      </c>
      <c r="G58" s="70" t="str">
        <f t="shared" si="19"/>
        <v>Safe</v>
      </c>
    </row>
    <row r="59" ht="15.0" customHeight="1">
      <c r="A59" s="40" t="str">
        <f>$A$11</f>
        <v>OCF / Current liabilities</v>
      </c>
      <c r="B59" s="42" t="str">
        <f>$B$11</f>
        <v>Below</v>
      </c>
      <c r="C59" s="94">
        <f>Indicators!N8</f>
        <v>0.9650379396</v>
      </c>
      <c r="D59" s="95">
        <f>$C$11</f>
        <v>0</v>
      </c>
      <c r="E59" s="95">
        <f>$D$11</f>
        <v>0.4</v>
      </c>
      <c r="F59" s="66">
        <f t="shared" si="18"/>
        <v>0.9650379396</v>
      </c>
      <c r="G59" s="70" t="str">
        <f t="shared" si="19"/>
        <v>Safe</v>
      </c>
    </row>
    <row r="60" ht="15.0" customHeight="1">
      <c r="A60" s="40" t="str">
        <f>$A$12</f>
        <v>Altman Z (classic)</v>
      </c>
      <c r="B60" s="42" t="str">
        <f>$B$12</f>
        <v>Below</v>
      </c>
      <c r="C60" s="94">
        <f>Indicators!O8</f>
        <v>17.53207012</v>
      </c>
      <c r="D60" s="95">
        <f>$C$12</f>
        <v>1.81</v>
      </c>
      <c r="E60" s="95">
        <f>$D$12</f>
        <v>2.99</v>
      </c>
      <c r="F60" s="66">
        <f t="shared" si="18"/>
        <v>15.72207012</v>
      </c>
      <c r="G60" s="70" t="str">
        <f t="shared" si="19"/>
        <v>Safe</v>
      </c>
    </row>
    <row r="61" ht="15.0" customHeight="1">
      <c r="A61" s="40" t="str">
        <f>$A$13</f>
        <v>Altman Z″ (private)</v>
      </c>
      <c r="B61" s="42" t="str">
        <f>$B$13</f>
        <v>Below</v>
      </c>
      <c r="C61" s="94">
        <f>Indicators!P8</f>
        <v>8.168674101</v>
      </c>
      <c r="D61" s="95">
        <f>$C$13</f>
        <v>1.1</v>
      </c>
      <c r="E61" s="95">
        <f>$D$13</f>
        <v>2.6</v>
      </c>
      <c r="F61" s="66">
        <f t="shared" si="18"/>
        <v>7.068674101</v>
      </c>
      <c r="G61" s="70" t="str">
        <f t="shared" si="19"/>
        <v>Safe</v>
      </c>
    </row>
    <row r="62" ht="14.25" customHeight="1"/>
    <row r="63" ht="14.25" customHeight="1"/>
    <row r="64" ht="14.25" customHeight="1"/>
    <row r="65" ht="14.25" customHeight="1"/>
    <row r="66" ht="21.0" customHeight="1">
      <c r="A66" s="56" t="str">
        <f>"COMPANY 2  -  "&amp;UPPER(Indicators!A9)</f>
        <v>COMPANY 2  -  BERGER PAINTS</v>
      </c>
      <c r="B66" s="57"/>
      <c r="C66" s="57"/>
      <c r="D66" s="57"/>
      <c r="E66" s="57"/>
      <c r="F66" s="57"/>
      <c r="G66" s="57"/>
      <c r="H66" s="57"/>
      <c r="I66" s="57"/>
      <c r="J66" s="57"/>
      <c r="K66" s="57"/>
      <c r="L66" s="57"/>
      <c r="M66" s="57"/>
      <c r="N66" s="57"/>
    </row>
    <row r="67" ht="15.0" customHeight="1">
      <c r="A67" s="54" t="str">
        <f>"Peer benchmark for "&amp;Indicators!A9&amp;" = median of "&amp;Indicators!A5&amp;" and "&amp;Indicators!A13&amp;" (same year; own value excluded)"</f>
        <v>Peer benchmark for Berger Paints = median of Asian Paints and Kansai Nerolac (same year; own value excluded)</v>
      </c>
    </row>
    <row r="68" ht="18.0" customHeight="1">
      <c r="A68" s="28" t="s">
        <v>158</v>
      </c>
    </row>
    <row r="69" ht="37.5" customHeight="1">
      <c r="A69" s="4" t="s">
        <v>128</v>
      </c>
      <c r="B69" s="4" t="s">
        <v>159</v>
      </c>
      <c r="C69" s="4" t="str">
        <f>Inputs!B5</f>
        <v>FY23</v>
      </c>
      <c r="D69" s="4" t="str">
        <f>Inputs!B6</f>
        <v>FY24</v>
      </c>
      <c r="E69" s="4" t="str">
        <f>Inputs!B7</f>
        <v>FY25</v>
      </c>
      <c r="F69" s="4" t="str">
        <f>Inputs!B8</f>
        <v>FY26</v>
      </c>
      <c r="G69" s="60" t="s">
        <v>160</v>
      </c>
      <c r="H69" s="62" t="s">
        <v>161</v>
      </c>
      <c r="I69" s="62" t="s">
        <v>162</v>
      </c>
      <c r="J69" s="62" t="s">
        <v>163</v>
      </c>
    </row>
    <row r="70" ht="15.0" customHeight="1">
      <c r="A70" s="40" t="s">
        <v>22</v>
      </c>
      <c r="B70" s="42" t="s">
        <v>164</v>
      </c>
      <c r="C70" s="63">
        <f>Indicators!C9</f>
        <v>1.335374606</v>
      </c>
      <c r="D70" s="63">
        <f>Indicators!C10</f>
        <v>1.77966085</v>
      </c>
      <c r="E70" s="63">
        <f>Indicators!C11</f>
        <v>2.08172186</v>
      </c>
      <c r="F70" s="63">
        <f>Indicators!C12</f>
        <v>2.184999837</v>
      </c>
      <c r="G70" s="64">
        <f t="shared" ref="G70:G82" si="20">J87</f>
        <v>3.105387779</v>
      </c>
      <c r="H70" s="66">
        <f t="shared" ref="H70:H82" si="21">IFERROR(F70-G70,"")</f>
        <v>-0.9203879426</v>
      </c>
      <c r="I70" s="68">
        <f t="shared" ref="I70:I82" si="22">IFERROR((F70-G70)/ABS(G70),"")</f>
        <v>-0.2963842225</v>
      </c>
      <c r="J70" s="70" t="str">
        <f t="shared" ref="J70:J82" si="23">IF(I70="","",IF(ABS(I70)&lt;=$C$15,"In line",IF(B70="Neutral",IF(I70&gt;0,"Above peers","Below peers"),IF(OR(AND(B70="Higher",I70&gt;0),AND(B70="Lower",I70&lt;0)),"Better","Weaker"))))</f>
        <v>Weaker</v>
      </c>
    </row>
    <row r="71" ht="15.0" customHeight="1">
      <c r="A71" s="40" t="s">
        <v>47</v>
      </c>
      <c r="B71" s="42" t="s">
        <v>164</v>
      </c>
      <c r="C71" s="63">
        <f>Indicators!D9</f>
        <v>0.5393523069</v>
      </c>
      <c r="D71" s="63">
        <f>Indicators!D10</f>
        <v>0.7879308736</v>
      </c>
      <c r="E71" s="63">
        <f>Indicators!D11</f>
        <v>0.9705100314</v>
      </c>
      <c r="F71" s="63">
        <f>Indicators!D12</f>
        <v>1.146024247</v>
      </c>
      <c r="G71" s="64">
        <f t="shared" si="20"/>
        <v>2.262811524</v>
      </c>
      <c r="H71" s="66">
        <f t="shared" si="21"/>
        <v>-1.116787277</v>
      </c>
      <c r="I71" s="68">
        <f t="shared" si="22"/>
        <v>-0.4935396806</v>
      </c>
      <c r="J71" s="70" t="str">
        <f t="shared" si="23"/>
        <v>Weaker</v>
      </c>
    </row>
    <row r="72" ht="15.0" customHeight="1">
      <c r="A72" s="40" t="s">
        <v>173</v>
      </c>
      <c r="B72" s="42" t="s">
        <v>164</v>
      </c>
      <c r="C72" s="63">
        <f>Indicators!E9</f>
        <v>0.02109397892</v>
      </c>
      <c r="D72" s="63">
        <f>Indicators!E10</f>
        <v>0.07425341433</v>
      </c>
      <c r="E72" s="63">
        <f>Indicators!E11</f>
        <v>0.07120195794</v>
      </c>
      <c r="F72" s="63">
        <f>Indicators!E12</f>
        <v>0.07093006428</v>
      </c>
      <c r="G72" s="64">
        <f t="shared" si="20"/>
        <v>0.08966520564</v>
      </c>
      <c r="H72" s="66">
        <f t="shared" si="21"/>
        <v>-0.01873514136</v>
      </c>
      <c r="I72" s="68">
        <f t="shared" si="22"/>
        <v>-0.2089455015</v>
      </c>
      <c r="J72" s="70" t="str">
        <f t="shared" si="23"/>
        <v>Weaker</v>
      </c>
    </row>
    <row r="73" ht="15.0" customHeight="1">
      <c r="A73" s="40" t="s">
        <v>56</v>
      </c>
      <c r="B73" s="42" t="s">
        <v>164</v>
      </c>
      <c r="C73" s="63">
        <f>Indicators!G9</f>
        <v>0.1221850005</v>
      </c>
      <c r="D73" s="63">
        <f>Indicators!G10</f>
        <v>0.2094000522</v>
      </c>
      <c r="E73" s="63">
        <f>Indicators!G11</f>
        <v>0.2627086618</v>
      </c>
      <c r="F73" s="63">
        <f>Indicators!G12</f>
        <v>0.2837405826</v>
      </c>
      <c r="G73" s="64">
        <f t="shared" si="20"/>
        <v>0.4114151167</v>
      </c>
      <c r="H73" s="66">
        <f t="shared" si="21"/>
        <v>-0.1276745341</v>
      </c>
      <c r="I73" s="68">
        <f t="shared" si="22"/>
        <v>-0.3103301967</v>
      </c>
      <c r="J73" s="70" t="str">
        <f t="shared" si="23"/>
        <v>Weaker</v>
      </c>
    </row>
    <row r="74" ht="15.0" customHeight="1">
      <c r="A74" s="40" t="s">
        <v>181</v>
      </c>
      <c r="B74" s="42" t="s">
        <v>182</v>
      </c>
      <c r="C74" s="78">
        <f>Indicators!H9</f>
        <v>37.4148683</v>
      </c>
      <c r="D74" s="78">
        <f>Indicators!H10</f>
        <v>35.73726398</v>
      </c>
      <c r="E74" s="78">
        <f>Indicators!H11</f>
        <v>40.35659077</v>
      </c>
      <c r="F74" s="78">
        <f>Indicators!H12</f>
        <v>39.55658295</v>
      </c>
      <c r="G74" s="80">
        <f t="shared" si="20"/>
        <v>51.68218814</v>
      </c>
      <c r="H74" s="82">
        <f t="shared" si="21"/>
        <v>-12.12560519</v>
      </c>
      <c r="I74" s="68">
        <f t="shared" si="22"/>
        <v>-0.2346186497</v>
      </c>
      <c r="J74" s="70" t="str">
        <f t="shared" si="23"/>
        <v>Better</v>
      </c>
    </row>
    <row r="75" ht="15.0" customHeight="1">
      <c r="A75" s="40" t="s">
        <v>186</v>
      </c>
      <c r="B75" s="42" t="s">
        <v>182</v>
      </c>
      <c r="C75" s="78">
        <f>Indicators!I9</f>
        <v>128.6858974</v>
      </c>
      <c r="D75" s="78">
        <f>Indicators!I10</f>
        <v>122.7809242</v>
      </c>
      <c r="E75" s="78">
        <f>Indicators!I11</f>
        <v>132.2816941</v>
      </c>
      <c r="F75" s="78">
        <f>Indicators!I12</f>
        <v>131.6327705</v>
      </c>
      <c r="G75" s="80">
        <f t="shared" si="20"/>
        <v>106.034361</v>
      </c>
      <c r="H75" s="82">
        <f t="shared" si="21"/>
        <v>25.59840948</v>
      </c>
      <c r="I75" s="68">
        <f t="shared" si="22"/>
        <v>0.2414161716</v>
      </c>
      <c r="J75" s="70" t="str">
        <f t="shared" si="23"/>
        <v>Weaker</v>
      </c>
    </row>
    <row r="76" ht="15.0" customHeight="1">
      <c r="A76" s="40" t="s">
        <v>187</v>
      </c>
      <c r="B76" s="42" t="s">
        <v>188</v>
      </c>
      <c r="C76" s="78">
        <f>Indicators!J9</f>
        <v>100.3979057</v>
      </c>
      <c r="D76" s="78">
        <f>Indicators!J10</f>
        <v>95.2848262</v>
      </c>
      <c r="E76" s="78">
        <f>Indicators!J11</f>
        <v>94.07910534</v>
      </c>
      <c r="F76" s="78">
        <f>Indicators!J12</f>
        <v>90.03383409</v>
      </c>
      <c r="G76" s="80">
        <f t="shared" si="20"/>
        <v>72.52137848</v>
      </c>
      <c r="H76" s="82">
        <f t="shared" si="21"/>
        <v>17.51245561</v>
      </c>
      <c r="I76" s="68">
        <f t="shared" si="22"/>
        <v>0.2414799054</v>
      </c>
      <c r="J76" s="70" t="str">
        <f t="shared" si="23"/>
        <v>Above peers</v>
      </c>
    </row>
    <row r="77" ht="15.0" customHeight="1">
      <c r="A77" s="40" t="s">
        <v>190</v>
      </c>
      <c r="B77" s="42" t="s">
        <v>182</v>
      </c>
      <c r="C77" s="78">
        <f>Indicators!K9</f>
        <v>65.70285999</v>
      </c>
      <c r="D77" s="78">
        <f>Indicators!K10</f>
        <v>63.23336197</v>
      </c>
      <c r="E77" s="78">
        <f>Indicators!K11</f>
        <v>78.55917955</v>
      </c>
      <c r="F77" s="78">
        <f>Indicators!K12</f>
        <v>81.15551932</v>
      </c>
      <c r="G77" s="80">
        <f t="shared" si="20"/>
        <v>85.19517064</v>
      </c>
      <c r="H77" s="82">
        <f t="shared" si="21"/>
        <v>-4.039651326</v>
      </c>
      <c r="I77" s="68">
        <f t="shared" si="22"/>
        <v>-0.04741643565</v>
      </c>
      <c r="J77" s="70" t="str">
        <f t="shared" si="23"/>
        <v>In line</v>
      </c>
    </row>
    <row r="78" ht="15.0" customHeight="1">
      <c r="A78" s="40" t="s">
        <v>140</v>
      </c>
      <c r="B78" s="42" t="s">
        <v>164</v>
      </c>
      <c r="C78" s="85">
        <f>Indicators!L9</f>
        <v>13.78071395</v>
      </c>
      <c r="D78" s="85">
        <f>Indicators!L10</f>
        <v>22.14846891</v>
      </c>
      <c r="E78" s="85">
        <f>Indicators!L11</f>
        <v>30.89427497</v>
      </c>
      <c r="F78" s="85">
        <f>Indicators!L12</f>
        <v>33.63618421</v>
      </c>
      <c r="G78" s="86">
        <f t="shared" si="20"/>
        <v>48.57865156</v>
      </c>
      <c r="H78" s="87">
        <f t="shared" si="21"/>
        <v>-14.94246735</v>
      </c>
      <c r="I78" s="68">
        <f t="shared" si="22"/>
        <v>-0.3075932919</v>
      </c>
      <c r="J78" s="70" t="str">
        <f t="shared" si="23"/>
        <v>Weaker</v>
      </c>
    </row>
    <row r="79" ht="15.0" customHeight="1">
      <c r="A79" s="40" t="s">
        <v>144</v>
      </c>
      <c r="B79" s="42" t="s">
        <v>182</v>
      </c>
      <c r="C79" s="63">
        <f>Indicators!M9</f>
        <v>2.181939564</v>
      </c>
      <c r="D79" s="63">
        <f>Indicators!M10</f>
        <v>1.490026661</v>
      </c>
      <c r="E79" s="63">
        <f>Indicators!M11</f>
        <v>1.389178056</v>
      </c>
      <c r="F79" s="63">
        <f>Indicators!M12</f>
        <v>1.385146639</v>
      </c>
      <c r="G79" s="64">
        <f t="shared" si="20"/>
        <v>1.463101789</v>
      </c>
      <c r="H79" s="66">
        <f t="shared" si="21"/>
        <v>-0.07795514943</v>
      </c>
      <c r="I79" s="68">
        <f t="shared" si="22"/>
        <v>-0.05328074234</v>
      </c>
      <c r="J79" s="70" t="str">
        <f t="shared" si="23"/>
        <v>Better</v>
      </c>
    </row>
    <row r="80" ht="15.0" customHeight="1">
      <c r="A80" s="40" t="s">
        <v>152</v>
      </c>
      <c r="B80" s="42" t="s">
        <v>164</v>
      </c>
      <c r="C80" s="63">
        <f>Indicators!N9</f>
        <v>0.3465428797</v>
      </c>
      <c r="D80" s="63">
        <f>Indicators!N10</f>
        <v>0.7282433076</v>
      </c>
      <c r="E80" s="63">
        <f>Indicators!N11</f>
        <v>0.5634265974</v>
      </c>
      <c r="F80" s="63">
        <f>Indicators!N12</f>
        <v>0.6565629216</v>
      </c>
      <c r="G80" s="64">
        <f t="shared" si="20"/>
        <v>0.7779921741</v>
      </c>
      <c r="H80" s="66">
        <f t="shared" si="21"/>
        <v>-0.1214292525</v>
      </c>
      <c r="I80" s="68">
        <f t="shared" si="22"/>
        <v>-0.1560803007</v>
      </c>
      <c r="J80" s="70" t="str">
        <f t="shared" si="23"/>
        <v>Weaker</v>
      </c>
    </row>
    <row r="81" ht="15.0" customHeight="1">
      <c r="A81" s="40" t="s">
        <v>82</v>
      </c>
      <c r="B81" s="42" t="s">
        <v>164</v>
      </c>
      <c r="C81" s="63">
        <f>Indicators!O9</f>
        <v>14.95241163</v>
      </c>
      <c r="D81" s="63">
        <f>Indicators!O10</f>
        <v>16.80712562</v>
      </c>
      <c r="E81" s="63">
        <f>Indicators!O11</f>
        <v>16.56408777</v>
      </c>
      <c r="F81" s="63">
        <f>Indicators!O12</f>
        <v>17.6914824</v>
      </c>
      <c r="G81" s="64">
        <f t="shared" si="20"/>
        <v>13.4534865</v>
      </c>
      <c r="H81" s="66">
        <f t="shared" si="21"/>
        <v>4.237995903</v>
      </c>
      <c r="I81" s="68">
        <f t="shared" si="22"/>
        <v>0.3150109753</v>
      </c>
      <c r="J81" s="70" t="str">
        <f t="shared" si="23"/>
        <v>Better</v>
      </c>
    </row>
    <row r="82" ht="15.0" customHeight="1">
      <c r="A82" s="40" t="s">
        <v>87</v>
      </c>
      <c r="B82" s="42" t="s">
        <v>164</v>
      </c>
      <c r="C82" s="63">
        <f>Indicators!P9</f>
        <v>5.183176226</v>
      </c>
      <c r="D82" s="63">
        <f>Indicators!P10</f>
        <v>6.78492027</v>
      </c>
      <c r="E82" s="63">
        <f>Indicators!P11</f>
        <v>7.547547928</v>
      </c>
      <c r="F82" s="63">
        <f>Indicators!P12</f>
        <v>7.840645901</v>
      </c>
      <c r="G82" s="64">
        <f t="shared" si="20"/>
        <v>9.196952228</v>
      </c>
      <c r="H82" s="66">
        <f t="shared" si="21"/>
        <v>-1.356306327</v>
      </c>
      <c r="I82" s="68">
        <f t="shared" si="22"/>
        <v>-0.1474734557</v>
      </c>
      <c r="J82" s="70" t="str">
        <f t="shared" si="23"/>
        <v>Weaker</v>
      </c>
    </row>
    <row r="83" ht="14.25" customHeight="1"/>
    <row r="84" ht="18.0" customHeight="1">
      <c r="A84" s="28" t="s">
        <v>192</v>
      </c>
    </row>
    <row r="85" ht="18.0" customHeight="1">
      <c r="A85" s="4"/>
      <c r="B85" s="4"/>
      <c r="C85" s="88" t="s">
        <v>193</v>
      </c>
      <c r="D85" s="34"/>
      <c r="E85" s="34"/>
      <c r="F85" s="36"/>
      <c r="G85" s="89" t="s">
        <v>194</v>
      </c>
      <c r="H85" s="34"/>
      <c r="I85" s="34"/>
      <c r="J85" s="36"/>
      <c r="K85" s="90" t="s">
        <v>195</v>
      </c>
      <c r="L85" s="34"/>
      <c r="M85" s="34"/>
      <c r="N85" s="36"/>
    </row>
    <row r="86" ht="18.0" customHeight="1">
      <c r="A86" s="4" t="s">
        <v>128</v>
      </c>
      <c r="B86" s="4" t="s">
        <v>159</v>
      </c>
      <c r="C86" s="4" t="str">
        <f>Inputs!B5</f>
        <v>FY23</v>
      </c>
      <c r="D86" s="4" t="str">
        <f>Inputs!B6</f>
        <v>FY24</v>
      </c>
      <c r="E86" s="4" t="str">
        <f>Inputs!B7</f>
        <v>FY25</v>
      </c>
      <c r="F86" s="4" t="str">
        <f>Inputs!B8</f>
        <v>FY26</v>
      </c>
      <c r="G86" s="60" t="str">
        <f>Inputs!B5</f>
        <v>FY23</v>
      </c>
      <c r="H86" s="60" t="str">
        <f>Inputs!B6</f>
        <v>FY24</v>
      </c>
      <c r="I86" s="60" t="str">
        <f>Inputs!B7</f>
        <v>FY25</v>
      </c>
      <c r="J86" s="60" t="str">
        <f>Inputs!B8</f>
        <v>FY26</v>
      </c>
      <c r="K86" s="62" t="str">
        <f>Inputs!B5</f>
        <v>FY23</v>
      </c>
      <c r="L86" s="62" t="str">
        <f>Inputs!B6</f>
        <v>FY24</v>
      </c>
      <c r="M86" s="62" t="str">
        <f>Inputs!B7</f>
        <v>FY25</v>
      </c>
      <c r="N86" s="62" t="str">
        <f>Inputs!B8</f>
        <v>FY26</v>
      </c>
    </row>
    <row r="87" ht="15.0" customHeight="1">
      <c r="A87" s="40" t="s">
        <v>22</v>
      </c>
      <c r="B87" s="42" t="s">
        <v>164</v>
      </c>
      <c r="C87" s="63">
        <f>Indicators!C9</f>
        <v>1.335374606</v>
      </c>
      <c r="D87" s="63">
        <f>Indicators!C10</f>
        <v>1.77966085</v>
      </c>
      <c r="E87" s="63">
        <f>Indicators!C11</f>
        <v>2.08172186</v>
      </c>
      <c r="F87" s="63">
        <f>Indicators!C12</f>
        <v>2.184999837</v>
      </c>
      <c r="G87" s="91">
        <f>IFERROR(MEDIAN(Indicators!C5,Indicators!C13),"")</f>
        <v>2.613886158</v>
      </c>
      <c r="H87" s="91">
        <f>IFERROR(MEDIAN(Indicators!C6,Indicators!C14),"")</f>
        <v>2.911053564</v>
      </c>
      <c r="I87" s="91">
        <f>IFERROR(MEDIAN(Indicators!C7,Indicators!C15),"")</f>
        <v>3.159738975</v>
      </c>
      <c r="J87" s="91">
        <f>IFERROR(MEDIAN(Indicators!C8,Indicators!C16),"")</f>
        <v>3.105387779</v>
      </c>
      <c r="K87" s="68">
        <f t="shared" ref="K87:N87" si="24">IFERROR((C87-G87)/ABS(G87),"")</f>
        <v>-0.4891228899</v>
      </c>
      <c r="L87" s="68">
        <f t="shared" si="24"/>
        <v>-0.3886540348</v>
      </c>
      <c r="M87" s="68">
        <f t="shared" si="24"/>
        <v>-0.3411728386</v>
      </c>
      <c r="N87" s="68">
        <f t="shared" si="24"/>
        <v>-0.2963842225</v>
      </c>
    </row>
    <row r="88" ht="15.0" customHeight="1">
      <c r="A88" s="40" t="s">
        <v>47</v>
      </c>
      <c r="B88" s="42" t="s">
        <v>164</v>
      </c>
      <c r="C88" s="63">
        <f>Indicators!D9</f>
        <v>0.5393523069</v>
      </c>
      <c r="D88" s="63">
        <f>Indicators!D10</f>
        <v>0.7879308736</v>
      </c>
      <c r="E88" s="63">
        <f>Indicators!D11</f>
        <v>0.9705100314</v>
      </c>
      <c r="F88" s="63">
        <f>Indicators!D12</f>
        <v>1.146024247</v>
      </c>
      <c r="G88" s="91">
        <f>IFERROR(MEDIAN(Indicators!D5,Indicators!D13),"")</f>
        <v>1.498689191</v>
      </c>
      <c r="H88" s="91">
        <f>IFERROR(MEDIAN(Indicators!D6,Indicators!D14),"")</f>
        <v>1.88848796</v>
      </c>
      <c r="I88" s="91">
        <f>IFERROR(MEDIAN(Indicators!D7,Indicators!D15),"")</f>
        <v>2.065488953</v>
      </c>
      <c r="J88" s="91">
        <f>IFERROR(MEDIAN(Indicators!D8,Indicators!D16),"")</f>
        <v>2.262811524</v>
      </c>
      <c r="K88" s="68">
        <f t="shared" ref="K88:N88" si="25">IFERROR((C88-G88)/ABS(G88),"")</f>
        <v>-0.6401173037</v>
      </c>
      <c r="L88" s="68">
        <f t="shared" si="25"/>
        <v>-0.5827715662</v>
      </c>
      <c r="M88" s="68">
        <f t="shared" si="25"/>
        <v>-0.5301306115</v>
      </c>
      <c r="N88" s="68">
        <f t="shared" si="25"/>
        <v>-0.4935396806</v>
      </c>
    </row>
    <row r="89" ht="15.0" customHeight="1">
      <c r="A89" s="40" t="s">
        <v>173</v>
      </c>
      <c r="B89" s="42" t="s">
        <v>164</v>
      </c>
      <c r="C89" s="63">
        <f>Indicators!E9</f>
        <v>0.02109397892</v>
      </c>
      <c r="D89" s="63">
        <f>Indicators!E10</f>
        <v>0.07425341433</v>
      </c>
      <c r="E89" s="63">
        <f>Indicators!E11</f>
        <v>0.07120195794</v>
      </c>
      <c r="F89" s="63">
        <f>Indicators!E12</f>
        <v>0.07093006428</v>
      </c>
      <c r="G89" s="91">
        <f>IFERROR(MEDIAN(Indicators!E5,Indicators!E13),"")</f>
        <v>0.04948442499</v>
      </c>
      <c r="H89" s="91">
        <f>IFERROR(MEDIAN(Indicators!E6,Indicators!E14),"")</f>
        <v>0.08795897434</v>
      </c>
      <c r="I89" s="91">
        <f>IFERROR(MEDIAN(Indicators!E7,Indicators!E15),"")</f>
        <v>0.04760248297</v>
      </c>
      <c r="J89" s="91">
        <f>IFERROR(MEDIAN(Indicators!E8,Indicators!E16),"")</f>
        <v>0.08966520564</v>
      </c>
      <c r="K89" s="68">
        <f t="shared" ref="K89:N89" si="26">IFERROR((C89-G89)/ABS(G89),"")</f>
        <v>-0.5737248856</v>
      </c>
      <c r="L89" s="68">
        <f t="shared" si="26"/>
        <v>-0.1558176424</v>
      </c>
      <c r="M89" s="68">
        <f t="shared" si="26"/>
        <v>0.4957614289</v>
      </c>
      <c r="N89" s="68">
        <f t="shared" si="26"/>
        <v>-0.2089455015</v>
      </c>
    </row>
    <row r="90" ht="15.0" customHeight="1">
      <c r="A90" s="40" t="s">
        <v>56</v>
      </c>
      <c r="B90" s="42" t="s">
        <v>164</v>
      </c>
      <c r="C90" s="63">
        <f>Indicators!G9</f>
        <v>0.1221850005</v>
      </c>
      <c r="D90" s="63">
        <f>Indicators!G10</f>
        <v>0.2094000522</v>
      </c>
      <c r="E90" s="63">
        <f>Indicators!G11</f>
        <v>0.2627086618</v>
      </c>
      <c r="F90" s="63">
        <f>Indicators!G12</f>
        <v>0.2837405826</v>
      </c>
      <c r="G90" s="91">
        <f>IFERROR(MEDIAN(Indicators!G5,Indicators!G13),"")</f>
        <v>0.3687659885</v>
      </c>
      <c r="H90" s="91">
        <f>IFERROR(MEDIAN(Indicators!G6,Indicators!G14),"")</f>
        <v>0.3862064725</v>
      </c>
      <c r="I90" s="91">
        <f>IFERROR(MEDIAN(Indicators!G7,Indicators!G15),"")</f>
        <v>0.3958076496</v>
      </c>
      <c r="J90" s="91">
        <f>IFERROR(MEDIAN(Indicators!G8,Indicators!G16),"")</f>
        <v>0.4114151167</v>
      </c>
      <c r="K90" s="68">
        <f t="shared" ref="K90:N90" si="27">IFERROR((C90-G90)/ABS(G90),"")</f>
        <v>-0.6686652125</v>
      </c>
      <c r="L90" s="68">
        <f t="shared" si="27"/>
        <v>-0.4578028408</v>
      </c>
      <c r="M90" s="68">
        <f t="shared" si="27"/>
        <v>-0.3362718937</v>
      </c>
      <c r="N90" s="68">
        <f t="shared" si="27"/>
        <v>-0.3103301967</v>
      </c>
    </row>
    <row r="91" ht="15.0" customHeight="1">
      <c r="A91" s="40" t="s">
        <v>181</v>
      </c>
      <c r="B91" s="42" t="s">
        <v>182</v>
      </c>
      <c r="C91" s="78">
        <f>Indicators!H9</f>
        <v>37.4148683</v>
      </c>
      <c r="D91" s="78">
        <f>Indicators!H10</f>
        <v>35.73726398</v>
      </c>
      <c r="E91" s="78">
        <f>Indicators!H11</f>
        <v>40.35659077</v>
      </c>
      <c r="F91" s="78">
        <f>Indicators!H12</f>
        <v>39.55658295</v>
      </c>
      <c r="G91" s="92">
        <f>IFERROR(MEDIAN(Indicators!H5,Indicators!H13),"")</f>
        <v>49.80175096</v>
      </c>
      <c r="H91" s="92">
        <f>IFERROR(MEDIAN(Indicators!H6,Indicators!H14),"")</f>
        <v>51.49224649</v>
      </c>
      <c r="I91" s="92">
        <f>IFERROR(MEDIAN(Indicators!H7,Indicators!H15),"")</f>
        <v>50.77752383</v>
      </c>
      <c r="J91" s="92">
        <f>IFERROR(MEDIAN(Indicators!H8,Indicators!H16),"")</f>
        <v>51.68218814</v>
      </c>
      <c r="K91" s="68">
        <f t="shared" ref="K91:N91" si="28">IFERROR((C91-G91)/ABS(G91),"")</f>
        <v>-0.2487238385</v>
      </c>
      <c r="L91" s="68">
        <f t="shared" si="28"/>
        <v>-0.305968055</v>
      </c>
      <c r="M91" s="68">
        <f t="shared" si="28"/>
        <v>-0.2052272791</v>
      </c>
      <c r="N91" s="68">
        <f t="shared" si="28"/>
        <v>-0.2346186497</v>
      </c>
    </row>
    <row r="92" ht="15.0" customHeight="1">
      <c r="A92" s="40" t="s">
        <v>186</v>
      </c>
      <c r="B92" s="42" t="s">
        <v>182</v>
      </c>
      <c r="C92" s="78">
        <f>Indicators!I9</f>
        <v>128.6858974</v>
      </c>
      <c r="D92" s="78">
        <f>Indicators!I10</f>
        <v>122.7809242</v>
      </c>
      <c r="E92" s="78">
        <f>Indicators!I11</f>
        <v>132.2816941</v>
      </c>
      <c r="F92" s="78">
        <f>Indicators!I12</f>
        <v>131.6327705</v>
      </c>
      <c r="G92" s="92">
        <f>IFERROR(MEDIAN(Indicators!I5,Indicators!I13),"")</f>
        <v>113.6876026</v>
      </c>
      <c r="H92" s="92">
        <f>IFERROR(MEDIAN(Indicators!I6,Indicators!I14),"")</f>
        <v>115.6180535</v>
      </c>
      <c r="I92" s="92">
        <f>IFERROR(MEDIAN(Indicators!I7,Indicators!I15),"")</f>
        <v>124.099735</v>
      </c>
      <c r="J92" s="92">
        <f>IFERROR(MEDIAN(Indicators!I8,Indicators!I16),"")</f>
        <v>106.034361</v>
      </c>
      <c r="K92" s="68">
        <f t="shared" ref="K92:N92" si="29">IFERROR((C92-G92)/ABS(G92),"")</f>
        <v>0.1319255088</v>
      </c>
      <c r="L92" s="68">
        <f t="shared" si="29"/>
        <v>0.06195287433</v>
      </c>
      <c r="M92" s="68">
        <f t="shared" si="29"/>
        <v>0.06593051264</v>
      </c>
      <c r="N92" s="68">
        <f t="shared" si="29"/>
        <v>0.2414161716</v>
      </c>
    </row>
    <row r="93" ht="15.0" customHeight="1">
      <c r="A93" s="40" t="s">
        <v>187</v>
      </c>
      <c r="B93" s="42" t="s">
        <v>188</v>
      </c>
      <c r="C93" s="78">
        <f>Indicators!J9</f>
        <v>100.3979057</v>
      </c>
      <c r="D93" s="78">
        <f>Indicators!J10</f>
        <v>95.2848262</v>
      </c>
      <c r="E93" s="78">
        <f>Indicators!J11</f>
        <v>94.07910534</v>
      </c>
      <c r="F93" s="78">
        <f>Indicators!J12</f>
        <v>90.03383409</v>
      </c>
      <c r="G93" s="92">
        <f>IFERROR(MEDIAN(Indicators!J5,Indicators!J13),"")</f>
        <v>64.85725078</v>
      </c>
      <c r="H93" s="92">
        <f>IFERROR(MEDIAN(Indicators!J6,Indicators!J14),"")</f>
        <v>73.51639299</v>
      </c>
      <c r="I93" s="92">
        <f>IFERROR(MEDIAN(Indicators!J7,Indicators!J15),"")</f>
        <v>72.44750283</v>
      </c>
      <c r="J93" s="92">
        <f>IFERROR(MEDIAN(Indicators!J8,Indicators!J16),"")</f>
        <v>72.52137848</v>
      </c>
      <c r="K93" s="68">
        <f t="shared" ref="K93:N93" si="30">IFERROR((C93-G93)/ABS(G93),"")</f>
        <v>0.547982755</v>
      </c>
      <c r="L93" s="68">
        <f t="shared" si="30"/>
        <v>0.2961031183</v>
      </c>
      <c r="M93" s="68">
        <f t="shared" si="30"/>
        <v>0.2985831349</v>
      </c>
      <c r="N93" s="68">
        <f t="shared" si="30"/>
        <v>0.2414799054</v>
      </c>
    </row>
    <row r="94" ht="15.0" customHeight="1">
      <c r="A94" s="40" t="s">
        <v>190</v>
      </c>
      <c r="B94" s="42" t="s">
        <v>182</v>
      </c>
      <c r="C94" s="78">
        <f>Indicators!K9</f>
        <v>65.70285999</v>
      </c>
      <c r="D94" s="78">
        <f>Indicators!K10</f>
        <v>63.23336197</v>
      </c>
      <c r="E94" s="78">
        <f>Indicators!K11</f>
        <v>78.55917955</v>
      </c>
      <c r="F94" s="78">
        <f>Indicators!K12</f>
        <v>81.15551932</v>
      </c>
      <c r="G94" s="92">
        <f>IFERROR(MEDIAN(Indicators!K5,Indicators!K13),"")</f>
        <v>98.63210281</v>
      </c>
      <c r="H94" s="92">
        <f>IFERROR(MEDIAN(Indicators!K6,Indicators!K14),"")</f>
        <v>93.59390695</v>
      </c>
      <c r="I94" s="92">
        <f>IFERROR(MEDIAN(Indicators!K7,Indicators!K15),"")</f>
        <v>102.429756</v>
      </c>
      <c r="J94" s="92">
        <f>IFERROR(MEDIAN(Indicators!K8,Indicators!K16),"")</f>
        <v>85.19517064</v>
      </c>
      <c r="K94" s="68">
        <f t="shared" ref="K94:N94" si="31">IFERROR((C94-G94)/ABS(G94),"")</f>
        <v>-0.3338592799</v>
      </c>
      <c r="L94" s="68">
        <f t="shared" si="31"/>
        <v>-0.3243859133</v>
      </c>
      <c r="M94" s="68">
        <f t="shared" si="31"/>
        <v>-0.2330433788</v>
      </c>
      <c r="N94" s="68">
        <f t="shared" si="31"/>
        <v>-0.04741643565</v>
      </c>
    </row>
    <row r="95" ht="15.0" customHeight="1">
      <c r="A95" s="40" t="s">
        <v>140</v>
      </c>
      <c r="B95" s="42" t="s">
        <v>164</v>
      </c>
      <c r="C95" s="85">
        <f>Indicators!L9</f>
        <v>13.78071395</v>
      </c>
      <c r="D95" s="85">
        <f>Indicators!L10</f>
        <v>22.14846891</v>
      </c>
      <c r="E95" s="85">
        <f>Indicators!L11</f>
        <v>30.89427497</v>
      </c>
      <c r="F95" s="85">
        <f>Indicators!L12</f>
        <v>33.63618421</v>
      </c>
      <c r="G95" s="93">
        <f>IFERROR(MEDIAN(Indicators!L5,Indicators!L13),"")</f>
        <v>63.91529893</v>
      </c>
      <c r="H95" s="93">
        <f>IFERROR(MEDIAN(Indicators!L6,Indicators!L14),"")</f>
        <v>68.40726374</v>
      </c>
      <c r="I95" s="93">
        <f>IFERROR(MEDIAN(Indicators!L7,Indicators!L15),"")</f>
        <v>49.43387199</v>
      </c>
      <c r="J95" s="93">
        <f>IFERROR(MEDIAN(Indicators!L8,Indicators!L16),"")</f>
        <v>48.57865156</v>
      </c>
      <c r="K95" s="68">
        <f t="shared" ref="K95:N95" si="32">IFERROR((C95-G95)/ABS(G95),"")</f>
        <v>-0.7843909958</v>
      </c>
      <c r="L95" s="68">
        <f t="shared" si="32"/>
        <v>-0.6762263581</v>
      </c>
      <c r="M95" s="68">
        <f t="shared" si="32"/>
        <v>-0.3750383346</v>
      </c>
      <c r="N95" s="68">
        <f t="shared" si="32"/>
        <v>-0.3075932919</v>
      </c>
    </row>
    <row r="96" ht="15.0" customHeight="1">
      <c r="A96" s="40" t="s">
        <v>144</v>
      </c>
      <c r="B96" s="42" t="s">
        <v>182</v>
      </c>
      <c r="C96" s="63">
        <f>Indicators!M9</f>
        <v>2.181939564</v>
      </c>
      <c r="D96" s="63">
        <f>Indicators!M10</f>
        <v>1.490026661</v>
      </c>
      <c r="E96" s="63">
        <f>Indicators!M11</f>
        <v>1.389178056</v>
      </c>
      <c r="F96" s="63">
        <f>Indicators!M12</f>
        <v>1.385146639</v>
      </c>
      <c r="G96" s="91">
        <f>IFERROR(MEDIAN(Indicators!M5,Indicators!M13),"")</f>
        <v>1.437634081</v>
      </c>
      <c r="H96" s="91">
        <f>IFERROR(MEDIAN(Indicators!M6,Indicators!M14),"")</f>
        <v>1.185186174</v>
      </c>
      <c r="I96" s="91">
        <f>IFERROR(MEDIAN(Indicators!M7,Indicators!M15),"")</f>
        <v>1.325620182</v>
      </c>
      <c r="J96" s="91">
        <f>IFERROR(MEDIAN(Indicators!M8,Indicators!M16),"")</f>
        <v>1.463101789</v>
      </c>
      <c r="K96" s="68">
        <f t="shared" ref="K96:N96" si="33">IFERROR((C96-G96)/ABS(G96),"")</f>
        <v>0.5177294366</v>
      </c>
      <c r="L96" s="68">
        <f t="shared" si="33"/>
        <v>0.2572089466</v>
      </c>
      <c r="M96" s="68">
        <f t="shared" si="33"/>
        <v>0.04794576489</v>
      </c>
      <c r="N96" s="68">
        <f t="shared" si="33"/>
        <v>-0.05328074234</v>
      </c>
    </row>
    <row r="97" ht="15.0" customHeight="1">
      <c r="A97" s="40" t="s">
        <v>152</v>
      </c>
      <c r="B97" s="42" t="s">
        <v>164</v>
      </c>
      <c r="C97" s="63">
        <f>Indicators!N9</f>
        <v>0.3465428797</v>
      </c>
      <c r="D97" s="63">
        <f>Indicators!N10</f>
        <v>0.7282433076</v>
      </c>
      <c r="E97" s="63">
        <f>Indicators!N11</f>
        <v>0.5634265974</v>
      </c>
      <c r="F97" s="63">
        <f>Indicators!N12</f>
        <v>0.6565629216</v>
      </c>
      <c r="G97" s="91">
        <f>IFERROR(MEDIAN(Indicators!N5,Indicators!N13),"")</f>
        <v>0.5163750807</v>
      </c>
      <c r="H97" s="91">
        <f>IFERROR(MEDIAN(Indicators!N6,Indicators!N14),"")</f>
        <v>0.8016315421</v>
      </c>
      <c r="I97" s="91">
        <f>IFERROR(MEDIAN(Indicators!N7,Indicators!N15),"")</f>
        <v>0.5822347297</v>
      </c>
      <c r="J97" s="91">
        <f>IFERROR(MEDIAN(Indicators!N8,Indicators!N16),"")</f>
        <v>0.7779921741</v>
      </c>
      <c r="K97" s="68">
        <f t="shared" ref="K97:N97" si="34">IFERROR((C97-G97)/ABS(G97),"")</f>
        <v>-0.3288930999</v>
      </c>
      <c r="L97" s="68">
        <f t="shared" si="34"/>
        <v>-0.09154858636</v>
      </c>
      <c r="M97" s="68">
        <f t="shared" si="34"/>
        <v>-0.03230335019</v>
      </c>
      <c r="N97" s="68">
        <f t="shared" si="34"/>
        <v>-0.1560803007</v>
      </c>
    </row>
    <row r="98" ht="15.0" customHeight="1">
      <c r="A98" s="40" t="s">
        <v>82</v>
      </c>
      <c r="B98" s="42" t="s">
        <v>164</v>
      </c>
      <c r="C98" s="63">
        <f>Indicators!O9</f>
        <v>14.95241163</v>
      </c>
      <c r="D98" s="63">
        <f>Indicators!O10</f>
        <v>16.80712562</v>
      </c>
      <c r="E98" s="63">
        <f>Indicators!O11</f>
        <v>16.56408777</v>
      </c>
      <c r="F98" s="63">
        <f>Indicators!O12</f>
        <v>17.6914824</v>
      </c>
      <c r="G98" s="91">
        <f>IFERROR(MEDIAN(Indicators!O5,Indicators!O13),"")</f>
        <v>19.87016579</v>
      </c>
      <c r="H98" s="91">
        <f>IFERROR(MEDIAN(Indicators!O6,Indicators!O14),"")</f>
        <v>18.94781017</v>
      </c>
      <c r="I98" s="91">
        <f>IFERROR(MEDIAN(Indicators!O7,Indicators!O15),"")</f>
        <v>15.08683632</v>
      </c>
      <c r="J98" s="91">
        <f>IFERROR(MEDIAN(Indicators!O8,Indicators!O16),"")</f>
        <v>13.4534865</v>
      </c>
      <c r="K98" s="68">
        <f t="shared" ref="K98:N98" si="35">IFERROR((C98-G98)/ABS(G98),"")</f>
        <v>-0.2474943699</v>
      </c>
      <c r="L98" s="68">
        <f t="shared" si="35"/>
        <v>-0.1129779393</v>
      </c>
      <c r="M98" s="68">
        <f t="shared" si="35"/>
        <v>0.09791658163</v>
      </c>
      <c r="N98" s="68">
        <f t="shared" si="35"/>
        <v>0.3150109753</v>
      </c>
    </row>
    <row r="99" ht="15.0" customHeight="1">
      <c r="A99" s="40" t="s">
        <v>87</v>
      </c>
      <c r="B99" s="42" t="s">
        <v>164</v>
      </c>
      <c r="C99" s="63">
        <f>Indicators!P9</f>
        <v>5.183176226</v>
      </c>
      <c r="D99" s="63">
        <f>Indicators!P10</f>
        <v>6.78492027</v>
      </c>
      <c r="E99" s="63">
        <f>Indicators!P11</f>
        <v>7.547547928</v>
      </c>
      <c r="F99" s="63">
        <f>Indicators!P12</f>
        <v>7.840645901</v>
      </c>
      <c r="G99" s="91">
        <f>IFERROR(MEDIAN(Indicators!P5,Indicators!P13),"")</f>
        <v>8.785453948</v>
      </c>
      <c r="H99" s="91">
        <f>IFERROR(MEDIAN(Indicators!P6,Indicators!P14),"")</f>
        <v>9.465137224</v>
      </c>
      <c r="I99" s="91">
        <f>IFERROR(MEDIAN(Indicators!P7,Indicators!P15),"")</f>
        <v>9.490427365</v>
      </c>
      <c r="J99" s="91">
        <f>IFERROR(MEDIAN(Indicators!P8,Indicators!P16),"")</f>
        <v>9.196952228</v>
      </c>
      <c r="K99" s="68">
        <f t="shared" ref="K99:N99" si="36">IFERROR((C99-G99)/ABS(G99),"")</f>
        <v>-0.4100275004</v>
      </c>
      <c r="L99" s="68">
        <f t="shared" si="36"/>
        <v>-0.2831672579</v>
      </c>
      <c r="M99" s="68">
        <f t="shared" si="36"/>
        <v>-0.2047199101</v>
      </c>
      <c r="N99" s="68">
        <f t="shared" si="36"/>
        <v>-0.1474734557</v>
      </c>
    </row>
    <row r="100" ht="14.25" customHeight="1"/>
    <row r="101" ht="18.0" customHeight="1">
      <c r="A101" s="28" t="s">
        <v>196</v>
      </c>
    </row>
    <row r="102" ht="31.5" customHeight="1">
      <c r="A102" s="4" t="s">
        <v>128</v>
      </c>
      <c r="B102" s="29" t="s">
        <v>129</v>
      </c>
      <c r="C102" s="4" t="str">
        <f>"Company "&amp;Inputs!B8</f>
        <v>Company FY26</v>
      </c>
      <c r="D102" s="29" t="s">
        <v>197</v>
      </c>
      <c r="E102" s="29" t="s">
        <v>198</v>
      </c>
      <c r="F102" s="29" t="s">
        <v>199</v>
      </c>
      <c r="G102" s="29" t="s">
        <v>200</v>
      </c>
    </row>
    <row r="103" ht="15.0" customHeight="1">
      <c r="A103" s="40" t="str">
        <f>$A$6</f>
        <v>Current ratio</v>
      </c>
      <c r="B103" s="42" t="str">
        <f>$B$6</f>
        <v>Below</v>
      </c>
      <c r="C103" s="94">
        <f>Indicators!C12</f>
        <v>2.184999837</v>
      </c>
      <c r="D103" s="95">
        <f>$C$6</f>
        <v>1</v>
      </c>
      <c r="E103" s="95">
        <f>$D$6</f>
        <v>1.5</v>
      </c>
      <c r="F103" s="66">
        <f t="shared" ref="F103:F110" si="37">IFERROR(IF(B103="Below",C103-D103,IF(C103&lt;0,C103,D103-C103)),"")</f>
        <v>1.184999837</v>
      </c>
      <c r="G103" s="70" t="str">
        <f t="shared" ref="G103:G110" si="38">IF(C103="","",IF(B103="Below",IF(C103&lt;D103,"Distress",IF(C103&lt;E103,"Watch","Safe")),IF(OR(C103&lt;0,C103&gt;D103),"Distress",IF(C103&gt;E103,"Watch","Safe"))))</f>
        <v>Safe</v>
      </c>
    </row>
    <row r="104" ht="15.0" customHeight="1">
      <c r="A104" s="40" t="str">
        <f>$A$7</f>
        <v>Quick ratio</v>
      </c>
      <c r="B104" s="42" t="str">
        <f>$B$7</f>
        <v>Below</v>
      </c>
      <c r="C104" s="94">
        <f>Indicators!D12</f>
        <v>1.146024247</v>
      </c>
      <c r="D104" s="95">
        <f>$C$7</f>
        <v>0.7</v>
      </c>
      <c r="E104" s="95">
        <f>$D$7</f>
        <v>1</v>
      </c>
      <c r="F104" s="66">
        <f t="shared" si="37"/>
        <v>0.4460242471</v>
      </c>
      <c r="G104" s="70" t="str">
        <f t="shared" si="38"/>
        <v>Safe</v>
      </c>
    </row>
    <row r="105" ht="15.0" customHeight="1">
      <c r="A105" s="40" t="str">
        <f>$A$8</f>
        <v>WC / Total assets</v>
      </c>
      <c r="B105" s="42" t="str">
        <f>$B$8</f>
        <v>Below</v>
      </c>
      <c r="C105" s="94">
        <f>Indicators!G12</f>
        <v>0.2837405826</v>
      </c>
      <c r="D105" s="95">
        <f>$C$8</f>
        <v>0</v>
      </c>
      <c r="E105" s="95">
        <f>$D$8</f>
        <v>0.1</v>
      </c>
      <c r="F105" s="66">
        <f t="shared" si="37"/>
        <v>0.2837405826</v>
      </c>
      <c r="G105" s="70" t="str">
        <f t="shared" si="38"/>
        <v>Safe</v>
      </c>
    </row>
    <row r="106" ht="15.0" customHeight="1">
      <c r="A106" s="40" t="str">
        <f>$A$9</f>
        <v>Interest coverage (x)</v>
      </c>
      <c r="B106" s="42" t="str">
        <f>$B$9</f>
        <v>Below</v>
      </c>
      <c r="C106" s="96">
        <f>Indicators!L12</f>
        <v>33.63618421</v>
      </c>
      <c r="D106" s="95">
        <f>$C$9</f>
        <v>1.5</v>
      </c>
      <c r="E106" s="95">
        <f>$D$9</f>
        <v>3</v>
      </c>
      <c r="F106" s="66">
        <f t="shared" si="37"/>
        <v>32.13618421</v>
      </c>
      <c r="G106" s="70" t="str">
        <f t="shared" si="38"/>
        <v>Safe</v>
      </c>
    </row>
    <row r="107" ht="15.0" customHeight="1">
      <c r="A107" s="40" t="str">
        <f>$A$10</f>
        <v>Liabilities / EBITDA (x)</v>
      </c>
      <c r="B107" s="42" t="str">
        <f>$B$10</f>
        <v>Above</v>
      </c>
      <c r="C107" s="94">
        <f>Indicators!M12</f>
        <v>1.385146639</v>
      </c>
      <c r="D107" s="95">
        <f>$C$10</f>
        <v>4</v>
      </c>
      <c r="E107" s="95">
        <f>$D$10</f>
        <v>3</v>
      </c>
      <c r="F107" s="66">
        <f t="shared" si="37"/>
        <v>2.614853361</v>
      </c>
      <c r="G107" s="70" t="str">
        <f t="shared" si="38"/>
        <v>Safe</v>
      </c>
    </row>
    <row r="108" ht="15.0" customHeight="1">
      <c r="A108" s="40" t="str">
        <f>$A$11</f>
        <v>OCF / Current liabilities</v>
      </c>
      <c r="B108" s="42" t="str">
        <f>$B$11</f>
        <v>Below</v>
      </c>
      <c r="C108" s="94">
        <f>Indicators!N12</f>
        <v>0.6565629216</v>
      </c>
      <c r="D108" s="95">
        <f>$C$11</f>
        <v>0</v>
      </c>
      <c r="E108" s="95">
        <f>$D$11</f>
        <v>0.4</v>
      </c>
      <c r="F108" s="66">
        <f t="shared" si="37"/>
        <v>0.6565629216</v>
      </c>
      <c r="G108" s="70" t="str">
        <f t="shared" si="38"/>
        <v>Safe</v>
      </c>
    </row>
    <row r="109" ht="15.0" customHeight="1">
      <c r="A109" s="40" t="str">
        <f>$A$12</f>
        <v>Altman Z (classic)</v>
      </c>
      <c r="B109" s="42" t="str">
        <f>$B$12</f>
        <v>Below</v>
      </c>
      <c r="C109" s="94">
        <f>Indicators!O12</f>
        <v>17.6914824</v>
      </c>
      <c r="D109" s="95">
        <f>$C$12</f>
        <v>1.81</v>
      </c>
      <c r="E109" s="95">
        <f>$D$12</f>
        <v>2.99</v>
      </c>
      <c r="F109" s="66">
        <f t="shared" si="37"/>
        <v>15.8814824</v>
      </c>
      <c r="G109" s="70" t="str">
        <f t="shared" si="38"/>
        <v>Safe</v>
      </c>
    </row>
    <row r="110" ht="15.0" customHeight="1">
      <c r="A110" s="40" t="str">
        <f>$A$13</f>
        <v>Altman Z″ (private)</v>
      </c>
      <c r="B110" s="42" t="str">
        <f>$B$13</f>
        <v>Below</v>
      </c>
      <c r="C110" s="94">
        <f>Indicators!P12</f>
        <v>7.840645901</v>
      </c>
      <c r="D110" s="95">
        <f>$C$13</f>
        <v>1.1</v>
      </c>
      <c r="E110" s="95">
        <f>$D$13</f>
        <v>2.6</v>
      </c>
      <c r="F110" s="66">
        <f t="shared" si="37"/>
        <v>6.740645901</v>
      </c>
      <c r="G110" s="70" t="str">
        <f t="shared" si="38"/>
        <v>Safe</v>
      </c>
    </row>
    <row r="111" ht="14.25" customHeight="1"/>
    <row r="112" ht="14.25" customHeight="1"/>
    <row r="113" ht="14.25" customHeight="1"/>
    <row r="114" ht="14.25" customHeight="1"/>
    <row r="115" ht="21.0" customHeight="1">
      <c r="A115" s="56" t="str">
        <f>"COMPANY 3  -  "&amp;UPPER(Indicators!A13)</f>
        <v>COMPANY 3  -  KANSAI NEROLAC</v>
      </c>
      <c r="B115" s="57"/>
      <c r="C115" s="57"/>
      <c r="D115" s="57"/>
      <c r="E115" s="57"/>
      <c r="F115" s="57"/>
      <c r="G115" s="57"/>
      <c r="H115" s="57"/>
      <c r="I115" s="57"/>
      <c r="J115" s="57"/>
      <c r="K115" s="57"/>
      <c r="L115" s="57"/>
      <c r="M115" s="57"/>
      <c r="N115" s="57"/>
    </row>
    <row r="116" ht="15.0" customHeight="1">
      <c r="A116" s="54" t="str">
        <f>"Peer benchmark for "&amp;Indicators!A13&amp;" = median of "&amp;Indicators!A5&amp;" and "&amp;Indicators!A9&amp;" (same year; own value excluded)"</f>
        <v>Peer benchmark for Kansai Nerolac = median of Asian Paints and Berger Paints (same year; own value excluded)</v>
      </c>
    </row>
    <row r="117" ht="18.0" customHeight="1">
      <c r="A117" s="28" t="s">
        <v>158</v>
      </c>
    </row>
    <row r="118" ht="37.5" customHeight="1">
      <c r="A118" s="4" t="s">
        <v>128</v>
      </c>
      <c r="B118" s="4" t="s">
        <v>159</v>
      </c>
      <c r="C118" s="4" t="str">
        <f>Inputs!B5</f>
        <v>FY23</v>
      </c>
      <c r="D118" s="4" t="str">
        <f>Inputs!B6</f>
        <v>FY24</v>
      </c>
      <c r="E118" s="4" t="str">
        <f>Inputs!B7</f>
        <v>FY25</v>
      </c>
      <c r="F118" s="4" t="str">
        <f>Inputs!B8</f>
        <v>FY26</v>
      </c>
      <c r="G118" s="60" t="s">
        <v>160</v>
      </c>
      <c r="H118" s="62" t="s">
        <v>161</v>
      </c>
      <c r="I118" s="62" t="s">
        <v>162</v>
      </c>
      <c r="J118" s="62" t="s">
        <v>163</v>
      </c>
    </row>
    <row r="119" ht="15.0" customHeight="1">
      <c r="A119" s="40" t="s">
        <v>22</v>
      </c>
      <c r="B119" s="42" t="s">
        <v>164</v>
      </c>
      <c r="C119" s="63">
        <f>Indicators!C13</f>
        <v>2.848311597</v>
      </c>
      <c r="D119" s="63">
        <f>Indicators!C14</f>
        <v>3.482742619</v>
      </c>
      <c r="E119" s="63">
        <f>Indicators!C15</f>
        <v>4.018985031</v>
      </c>
      <c r="F119" s="63">
        <f>Indicators!C16</f>
        <v>3.747668854</v>
      </c>
      <c r="G119" s="64">
        <f t="shared" ref="G119:G131" si="39">J136</f>
        <v>2.324053271</v>
      </c>
      <c r="H119" s="66">
        <f t="shared" ref="H119:H131" si="40">IFERROR(F119-G119,"")</f>
        <v>1.423615583</v>
      </c>
      <c r="I119" s="68">
        <f t="shared" ref="I119:I131" si="41">IFERROR((F119-G119)/ABS(G119),"")</f>
        <v>0.6125572082</v>
      </c>
      <c r="J119" s="70" t="str">
        <f t="shared" ref="J119:J131" si="42">IF(I119="","",IF(ABS(I119)&lt;=$C$15,"In line",IF(B119="Neutral",IF(I119&gt;0,"Above peers","Below peers"),IF(OR(AND(B119="Higher",I119&gt;0),AND(B119="Lower",I119&lt;0)),"Better","Weaker"))))</f>
        <v>Better</v>
      </c>
    </row>
    <row r="120" ht="15.0" customHeight="1">
      <c r="A120" s="40" t="s">
        <v>47</v>
      </c>
      <c r="B120" s="42" t="s">
        <v>164</v>
      </c>
      <c r="C120" s="63">
        <f>Indicators!D13</f>
        <v>1.530517596</v>
      </c>
      <c r="D120" s="63">
        <f>Indicators!D14</f>
        <v>2.253356764</v>
      </c>
      <c r="E120" s="63">
        <f>Indicators!D15</f>
        <v>2.768559732</v>
      </c>
      <c r="F120" s="63">
        <f>Indicators!D16</f>
        <v>2.751186432</v>
      </c>
      <c r="G120" s="64">
        <f t="shared" si="39"/>
        <v>1.460230432</v>
      </c>
      <c r="H120" s="66">
        <f t="shared" si="40"/>
        <v>1.290956</v>
      </c>
      <c r="I120" s="68">
        <f t="shared" si="41"/>
        <v>0.8840769046</v>
      </c>
      <c r="J120" s="70" t="str">
        <f t="shared" si="42"/>
        <v>Better</v>
      </c>
    </row>
    <row r="121" ht="15.0" customHeight="1">
      <c r="A121" s="40" t="s">
        <v>173</v>
      </c>
      <c r="B121" s="42" t="s">
        <v>164</v>
      </c>
      <c r="C121" s="63">
        <f>Indicators!E13</f>
        <v>0.072141949</v>
      </c>
      <c r="D121" s="63">
        <f>Indicators!E14</f>
        <v>0.1235213121</v>
      </c>
      <c r="E121" s="63">
        <f>Indicators!E15</f>
        <v>0.0665874329</v>
      </c>
      <c r="F121" s="63">
        <f>Indicators!E16</f>
        <v>0.1228949599</v>
      </c>
      <c r="G121" s="64">
        <f t="shared" si="39"/>
        <v>0.06368275782</v>
      </c>
      <c r="H121" s="66">
        <f t="shared" si="40"/>
        <v>0.0592122021</v>
      </c>
      <c r="I121" s="68">
        <f t="shared" si="41"/>
        <v>0.9297995897</v>
      </c>
      <c r="J121" s="70" t="str">
        <f t="shared" si="42"/>
        <v>Better</v>
      </c>
    </row>
    <row r="122" ht="15.0" customHeight="1">
      <c r="A122" s="40" t="s">
        <v>56</v>
      </c>
      <c r="B122" s="42" t="s">
        <v>164</v>
      </c>
      <c r="C122" s="63">
        <f>Indicators!G13</f>
        <v>0.380482393</v>
      </c>
      <c r="D122" s="63">
        <f>Indicators!G14</f>
        <v>0.4517204629</v>
      </c>
      <c r="E122" s="63">
        <f>Indicators!G15</f>
        <v>0.4876788753</v>
      </c>
      <c r="F122" s="63">
        <f>Indicators!G16</f>
        <v>0.4821088728</v>
      </c>
      <c r="G122" s="64">
        <f t="shared" si="39"/>
        <v>0.3122309716</v>
      </c>
      <c r="H122" s="66">
        <f t="shared" si="40"/>
        <v>0.1698779012</v>
      </c>
      <c r="I122" s="68">
        <f t="shared" si="41"/>
        <v>0.5440776753</v>
      </c>
      <c r="J122" s="70" t="str">
        <f t="shared" si="42"/>
        <v>Better</v>
      </c>
    </row>
    <row r="123" ht="15.0" customHeight="1">
      <c r="A123" s="40" t="s">
        <v>181</v>
      </c>
      <c r="B123" s="42" t="s">
        <v>182</v>
      </c>
      <c r="C123" s="78">
        <f>Indicators!H13</f>
        <v>57.5848889</v>
      </c>
      <c r="D123" s="78">
        <f>Indicators!H14</f>
        <v>59.99570557</v>
      </c>
      <c r="E123" s="78">
        <f>Indicators!H15</f>
        <v>62.0626248</v>
      </c>
      <c r="F123" s="78">
        <f>Indicators!H16</f>
        <v>65.07597655</v>
      </c>
      <c r="G123" s="80">
        <f t="shared" si="39"/>
        <v>38.92249134</v>
      </c>
      <c r="H123" s="82">
        <f t="shared" si="40"/>
        <v>26.15348521</v>
      </c>
      <c r="I123" s="68">
        <f t="shared" si="41"/>
        <v>0.6719375945</v>
      </c>
      <c r="J123" s="70" t="str">
        <f t="shared" si="42"/>
        <v>Weaker</v>
      </c>
    </row>
    <row r="124" ht="15.0" customHeight="1">
      <c r="A124" s="40" t="s">
        <v>186</v>
      </c>
      <c r="B124" s="42" t="s">
        <v>182</v>
      </c>
      <c r="C124" s="78">
        <f>Indicators!I13</f>
        <v>121.3897129</v>
      </c>
      <c r="D124" s="78">
        <f>Indicators!I14</f>
        <v>123.6662453</v>
      </c>
      <c r="E124" s="78">
        <f>Indicators!I15</f>
        <v>121.0779663</v>
      </c>
      <c r="F124" s="78">
        <f>Indicators!I16</f>
        <v>108.8897326</v>
      </c>
      <c r="G124" s="80">
        <f t="shared" si="39"/>
        <v>117.4058799</v>
      </c>
      <c r="H124" s="82">
        <f t="shared" si="40"/>
        <v>-8.516147291</v>
      </c>
      <c r="I124" s="68">
        <f t="shared" si="41"/>
        <v>-0.07253595219</v>
      </c>
      <c r="J124" s="70" t="str">
        <f t="shared" si="42"/>
        <v>Better</v>
      </c>
    </row>
    <row r="125" ht="15.0" customHeight="1">
      <c r="A125" s="40" t="s">
        <v>187</v>
      </c>
      <c r="B125" s="42" t="s">
        <v>188</v>
      </c>
      <c r="C125" s="78">
        <f>Indicators!J13</f>
        <v>69.05502952</v>
      </c>
      <c r="D125" s="78">
        <f>Indicators!J14</f>
        <v>78.37919547</v>
      </c>
      <c r="E125" s="78">
        <f>Indicators!J15</f>
        <v>76.99614228</v>
      </c>
      <c r="F125" s="78">
        <f>Indicators!J16</f>
        <v>78.43835989</v>
      </c>
      <c r="G125" s="80">
        <f t="shared" si="39"/>
        <v>78.31911558</v>
      </c>
      <c r="H125" s="82">
        <f t="shared" si="40"/>
        <v>0.1192443045</v>
      </c>
      <c r="I125" s="68">
        <f t="shared" si="41"/>
        <v>0.001522544064</v>
      </c>
      <c r="J125" s="70" t="str">
        <f t="shared" si="42"/>
        <v>In line</v>
      </c>
    </row>
    <row r="126" ht="15.0" customHeight="1">
      <c r="A126" s="40" t="s">
        <v>190</v>
      </c>
      <c r="B126" s="42" t="s">
        <v>182</v>
      </c>
      <c r="C126" s="78">
        <f>Indicators!K13</f>
        <v>109.9195723</v>
      </c>
      <c r="D126" s="78">
        <f>Indicators!K14</f>
        <v>105.2827554</v>
      </c>
      <c r="E126" s="78">
        <f>Indicators!K15</f>
        <v>106.1444488</v>
      </c>
      <c r="F126" s="78">
        <f>Indicators!K16</f>
        <v>95.52734927</v>
      </c>
      <c r="G126" s="80">
        <f t="shared" si="39"/>
        <v>78.00925566</v>
      </c>
      <c r="H126" s="82">
        <f t="shared" si="40"/>
        <v>17.51809361</v>
      </c>
      <c r="I126" s="68">
        <f t="shared" si="41"/>
        <v>0.2245642964</v>
      </c>
      <c r="J126" s="70" t="str">
        <f t="shared" si="42"/>
        <v>Weaker</v>
      </c>
    </row>
    <row r="127" ht="15.0" customHeight="1">
      <c r="A127" s="40" t="s">
        <v>140</v>
      </c>
      <c r="B127" s="42" t="s">
        <v>164</v>
      </c>
      <c r="C127" s="85">
        <f>Indicators!L13</f>
        <v>67.84069887</v>
      </c>
      <c r="D127" s="85">
        <f>Indicators!L14</f>
        <v>75.12279294</v>
      </c>
      <c r="E127" s="85">
        <f>Indicators!L15</f>
        <v>61.13386349</v>
      </c>
      <c r="F127" s="85">
        <f>Indicators!L16</f>
        <v>49.82726779</v>
      </c>
      <c r="G127" s="86">
        <f t="shared" si="39"/>
        <v>40.48310977</v>
      </c>
      <c r="H127" s="87">
        <f t="shared" si="40"/>
        <v>9.344158016</v>
      </c>
      <c r="I127" s="68">
        <f t="shared" si="41"/>
        <v>0.2308162112</v>
      </c>
      <c r="J127" s="70" t="str">
        <f t="shared" si="42"/>
        <v>Better</v>
      </c>
    </row>
    <row r="128" ht="15.0" customHeight="1">
      <c r="A128" s="40" t="s">
        <v>144</v>
      </c>
      <c r="B128" s="42" t="s">
        <v>182</v>
      </c>
      <c r="C128" s="63">
        <f>Indicators!M13</f>
        <v>1.779694927</v>
      </c>
      <c r="D128" s="63">
        <f>Indicators!M14</f>
        <v>1.408328032</v>
      </c>
      <c r="E128" s="63">
        <f>Indicators!M15</f>
        <v>1.436144384</v>
      </c>
      <c r="F128" s="63">
        <f>Indicators!M16</f>
        <v>1.618382689</v>
      </c>
      <c r="G128" s="64">
        <f t="shared" si="39"/>
        <v>1.346483764</v>
      </c>
      <c r="H128" s="66">
        <f t="shared" si="40"/>
        <v>0.2718989245</v>
      </c>
      <c r="I128" s="68">
        <f t="shared" si="41"/>
        <v>0.2019325682</v>
      </c>
      <c r="J128" s="70" t="str">
        <f t="shared" si="42"/>
        <v>Weaker</v>
      </c>
    </row>
    <row r="129" ht="15.0" customHeight="1">
      <c r="A129" s="40" t="s">
        <v>152</v>
      </c>
      <c r="B129" s="42" t="s">
        <v>164</v>
      </c>
      <c r="C129" s="63">
        <f>Indicators!N13</f>
        <v>0.3088062435</v>
      </c>
      <c r="D129" s="63">
        <f>Indicators!N14</f>
        <v>0.6809305369</v>
      </c>
      <c r="E129" s="63">
        <f>Indicators!N15</f>
        <v>0.5029634981</v>
      </c>
      <c r="F129" s="63">
        <f>Indicators!N16</f>
        <v>0.5909464087</v>
      </c>
      <c r="G129" s="64">
        <f t="shared" si="39"/>
        <v>0.8108004306</v>
      </c>
      <c r="H129" s="66">
        <f t="shared" si="40"/>
        <v>-0.2198540219</v>
      </c>
      <c r="I129" s="68">
        <f t="shared" si="41"/>
        <v>-0.2711567651</v>
      </c>
      <c r="J129" s="70" t="str">
        <f t="shared" si="42"/>
        <v>Weaker</v>
      </c>
    </row>
    <row r="130" ht="15.0" customHeight="1">
      <c r="A130" s="40" t="s">
        <v>82</v>
      </c>
      <c r="B130" s="42" t="s">
        <v>164</v>
      </c>
      <c r="C130" s="63">
        <f>Indicators!O13</f>
        <v>14.26602859</v>
      </c>
      <c r="D130" s="63">
        <f>Indicators!O14</f>
        <v>12.48531083</v>
      </c>
      <c r="E130" s="63">
        <f>Indicators!O15</f>
        <v>9.820180775</v>
      </c>
      <c r="F130" s="63">
        <f>Indicators!O16</f>
        <v>9.374902878</v>
      </c>
      <c r="G130" s="64">
        <f t="shared" si="39"/>
        <v>17.61177626</v>
      </c>
      <c r="H130" s="66">
        <f t="shared" si="40"/>
        <v>-8.236873382</v>
      </c>
      <c r="I130" s="68">
        <f t="shared" si="41"/>
        <v>-0.4676912346</v>
      </c>
      <c r="J130" s="70" t="str">
        <f t="shared" si="42"/>
        <v>Weaker</v>
      </c>
    </row>
    <row r="131" ht="15.0" customHeight="1">
      <c r="A131" s="40" t="s">
        <v>87</v>
      </c>
      <c r="B131" s="42" t="s">
        <v>164</v>
      </c>
      <c r="C131" s="63">
        <f>Indicators!P13</f>
        <v>8.965619787</v>
      </c>
      <c r="D131" s="63">
        <f>Indicators!P14</f>
        <v>10.12496717</v>
      </c>
      <c r="E131" s="63">
        <f>Indicators!P15</f>
        <v>10.7182491</v>
      </c>
      <c r="F131" s="63">
        <f>Indicators!P16</f>
        <v>10.22523036</v>
      </c>
      <c r="G131" s="64">
        <f t="shared" si="39"/>
        <v>8.004660001</v>
      </c>
      <c r="H131" s="66">
        <f t="shared" si="40"/>
        <v>2.220570355</v>
      </c>
      <c r="I131" s="68">
        <f t="shared" si="41"/>
        <v>0.2774097032</v>
      </c>
      <c r="J131" s="70" t="str">
        <f t="shared" si="42"/>
        <v>Better</v>
      </c>
    </row>
    <row r="132" ht="14.25" customHeight="1"/>
    <row r="133" ht="18.0" customHeight="1">
      <c r="A133" s="28" t="s">
        <v>192</v>
      </c>
    </row>
    <row r="134" ht="18.0" customHeight="1">
      <c r="A134" s="4"/>
      <c r="B134" s="4"/>
      <c r="C134" s="88" t="s">
        <v>193</v>
      </c>
      <c r="D134" s="34"/>
      <c r="E134" s="34"/>
      <c r="F134" s="36"/>
      <c r="G134" s="89" t="s">
        <v>194</v>
      </c>
      <c r="H134" s="34"/>
      <c r="I134" s="34"/>
      <c r="J134" s="36"/>
      <c r="K134" s="90" t="s">
        <v>195</v>
      </c>
      <c r="L134" s="34"/>
      <c r="M134" s="34"/>
      <c r="N134" s="36"/>
    </row>
    <row r="135" ht="18.0" customHeight="1">
      <c r="A135" s="4" t="s">
        <v>128</v>
      </c>
      <c r="B135" s="4" t="s">
        <v>159</v>
      </c>
      <c r="C135" s="4" t="str">
        <f>Inputs!B5</f>
        <v>FY23</v>
      </c>
      <c r="D135" s="4" t="str">
        <f>Inputs!B6</f>
        <v>FY24</v>
      </c>
      <c r="E135" s="4" t="str">
        <f>Inputs!B7</f>
        <v>FY25</v>
      </c>
      <c r="F135" s="4" t="str">
        <f>Inputs!B8</f>
        <v>FY26</v>
      </c>
      <c r="G135" s="60" t="str">
        <f>Inputs!B5</f>
        <v>FY23</v>
      </c>
      <c r="H135" s="60" t="str">
        <f>Inputs!B6</f>
        <v>FY24</v>
      </c>
      <c r="I135" s="60" t="str">
        <f>Inputs!B7</f>
        <v>FY25</v>
      </c>
      <c r="J135" s="60" t="str">
        <f>Inputs!B8</f>
        <v>FY26</v>
      </c>
      <c r="K135" s="62" t="str">
        <f>Inputs!B5</f>
        <v>FY23</v>
      </c>
      <c r="L135" s="62" t="str">
        <f>Inputs!B6</f>
        <v>FY24</v>
      </c>
      <c r="M135" s="62" t="str">
        <f>Inputs!B7</f>
        <v>FY25</v>
      </c>
      <c r="N135" s="62" t="str">
        <f>Inputs!B8</f>
        <v>FY26</v>
      </c>
    </row>
    <row r="136" ht="15.0" customHeight="1">
      <c r="A136" s="40" t="s">
        <v>22</v>
      </c>
      <c r="B136" s="42" t="s">
        <v>164</v>
      </c>
      <c r="C136" s="63">
        <f>Indicators!C13</f>
        <v>2.848311597</v>
      </c>
      <c r="D136" s="63">
        <f>Indicators!C14</f>
        <v>3.482742619</v>
      </c>
      <c r="E136" s="63">
        <f>Indicators!C15</f>
        <v>4.018985031</v>
      </c>
      <c r="F136" s="63">
        <f>Indicators!C16</f>
        <v>3.747668854</v>
      </c>
      <c r="G136" s="91">
        <f>IFERROR(MEDIAN(Indicators!C5,Indicators!C9),"")</f>
        <v>1.857417662</v>
      </c>
      <c r="H136" s="91">
        <f>IFERROR(MEDIAN(Indicators!C6,Indicators!C10),"")</f>
        <v>2.059512679</v>
      </c>
      <c r="I136" s="91">
        <f>IFERROR(MEDIAN(Indicators!C7,Indicators!C11),"")</f>
        <v>2.191107389</v>
      </c>
      <c r="J136" s="91">
        <f>IFERROR(MEDIAN(Indicators!C8,Indicators!C12),"")</f>
        <v>2.324053271</v>
      </c>
      <c r="K136" s="68">
        <f t="shared" ref="K136:N136" si="43">IFERROR((C136-G136)/ABS(G136),"")</f>
        <v>0.5334793325</v>
      </c>
      <c r="L136" s="68">
        <f t="shared" si="43"/>
        <v>0.6910517977</v>
      </c>
      <c r="M136" s="68">
        <f t="shared" si="43"/>
        <v>0.8342254928</v>
      </c>
      <c r="N136" s="68">
        <f t="shared" si="43"/>
        <v>0.6125572082</v>
      </c>
    </row>
    <row r="137" ht="15.0" customHeight="1">
      <c r="A137" s="40" t="s">
        <v>47</v>
      </c>
      <c r="B137" s="42" t="s">
        <v>164</v>
      </c>
      <c r="C137" s="63">
        <f>Indicators!D13</f>
        <v>1.530517596</v>
      </c>
      <c r="D137" s="63">
        <f>Indicators!D14</f>
        <v>2.253356764</v>
      </c>
      <c r="E137" s="63">
        <f>Indicators!D15</f>
        <v>2.768559732</v>
      </c>
      <c r="F137" s="63">
        <f>Indicators!D16</f>
        <v>2.751186432</v>
      </c>
      <c r="G137" s="91">
        <f>IFERROR(MEDIAN(Indicators!D5,Indicators!D9),"")</f>
        <v>1.003106547</v>
      </c>
      <c r="H137" s="91">
        <f>IFERROR(MEDIAN(Indicators!D6,Indicators!D10),"")</f>
        <v>1.155775014</v>
      </c>
      <c r="I137" s="91">
        <f>IFERROR(MEDIAN(Indicators!D7,Indicators!D11),"")</f>
        <v>1.166464103</v>
      </c>
      <c r="J137" s="91">
        <f>IFERROR(MEDIAN(Indicators!D8,Indicators!D12),"")</f>
        <v>1.460230432</v>
      </c>
      <c r="K137" s="68">
        <f t="shared" ref="K137:N137" si="44">IFERROR((C137-G137)/ABS(G137),"")</f>
        <v>0.5257776963</v>
      </c>
      <c r="L137" s="68">
        <f t="shared" si="44"/>
        <v>0.9496500064</v>
      </c>
      <c r="M137" s="68">
        <f t="shared" si="44"/>
        <v>1.373463294</v>
      </c>
      <c r="N137" s="68">
        <f t="shared" si="44"/>
        <v>0.8840769046</v>
      </c>
    </row>
    <row r="138" ht="15.0" customHeight="1">
      <c r="A138" s="40" t="s">
        <v>173</v>
      </c>
      <c r="B138" s="42" t="s">
        <v>164</v>
      </c>
      <c r="C138" s="63">
        <f>Indicators!E13</f>
        <v>0.072141949</v>
      </c>
      <c r="D138" s="63">
        <f>Indicators!E14</f>
        <v>0.1235213121</v>
      </c>
      <c r="E138" s="63">
        <f>Indicators!E15</f>
        <v>0.0665874329</v>
      </c>
      <c r="F138" s="63">
        <f>Indicators!E16</f>
        <v>0.1228949599</v>
      </c>
      <c r="G138" s="91">
        <f>IFERROR(MEDIAN(Indicators!E5,Indicators!E9),"")</f>
        <v>0.02396043995</v>
      </c>
      <c r="H138" s="91">
        <f>IFERROR(MEDIAN(Indicators!E6,Indicators!E10),"")</f>
        <v>0.06332502545</v>
      </c>
      <c r="I138" s="91">
        <f>IFERROR(MEDIAN(Indicators!E7,Indicators!E11),"")</f>
        <v>0.04990974549</v>
      </c>
      <c r="J138" s="91">
        <f>IFERROR(MEDIAN(Indicators!E8,Indicators!E12),"")</f>
        <v>0.06368275782</v>
      </c>
      <c r="K138" s="68">
        <f t="shared" ref="K138:N138" si="45">IFERROR((C138-G138)/ABS(G138),"")</f>
        <v>2.010877477</v>
      </c>
      <c r="L138" s="68">
        <f t="shared" si="45"/>
        <v>0.9505923804</v>
      </c>
      <c r="M138" s="68">
        <f t="shared" si="45"/>
        <v>0.3341569318</v>
      </c>
      <c r="N138" s="68">
        <f t="shared" si="45"/>
        <v>0.9297995897</v>
      </c>
    </row>
    <row r="139" ht="15.0" customHeight="1">
      <c r="A139" s="40" t="s">
        <v>56</v>
      </c>
      <c r="B139" s="42" t="s">
        <v>164</v>
      </c>
      <c r="C139" s="63">
        <f>Indicators!G13</f>
        <v>0.380482393</v>
      </c>
      <c r="D139" s="63">
        <f>Indicators!G14</f>
        <v>0.4517204629</v>
      </c>
      <c r="E139" s="63">
        <f>Indicators!G15</f>
        <v>0.4876788753</v>
      </c>
      <c r="F139" s="63">
        <f>Indicators!G16</f>
        <v>0.4821088728</v>
      </c>
      <c r="G139" s="91">
        <f>IFERROR(MEDIAN(Indicators!G5,Indicators!G9),"")</f>
        <v>0.2396172922</v>
      </c>
      <c r="H139" s="91">
        <f>IFERROR(MEDIAN(Indicators!G6,Indicators!G10),"")</f>
        <v>0.2650462672</v>
      </c>
      <c r="I139" s="91">
        <f>IFERROR(MEDIAN(Indicators!G7,Indicators!G11),"")</f>
        <v>0.2833225429</v>
      </c>
      <c r="J139" s="91">
        <f>IFERROR(MEDIAN(Indicators!G8,Indicators!G12),"")</f>
        <v>0.3122309716</v>
      </c>
      <c r="K139" s="68">
        <f t="shared" ref="K139:N139" si="46">IFERROR((C139-G139)/ABS(G139),"")</f>
        <v>0.587875355</v>
      </c>
      <c r="L139" s="68">
        <f t="shared" si="46"/>
        <v>0.7043079599</v>
      </c>
      <c r="M139" s="68">
        <f t="shared" si="46"/>
        <v>0.7212851131</v>
      </c>
      <c r="N139" s="68">
        <f t="shared" si="46"/>
        <v>0.5440776753</v>
      </c>
    </row>
    <row r="140" ht="15.0" customHeight="1">
      <c r="A140" s="40" t="s">
        <v>181</v>
      </c>
      <c r="B140" s="42" t="s">
        <v>182</v>
      </c>
      <c r="C140" s="78">
        <f>Indicators!H13</f>
        <v>57.5848889</v>
      </c>
      <c r="D140" s="78">
        <f>Indicators!H14</f>
        <v>59.99570557</v>
      </c>
      <c r="E140" s="78">
        <f>Indicators!H15</f>
        <v>62.0626248</v>
      </c>
      <c r="F140" s="78">
        <f>Indicators!H16</f>
        <v>65.07597655</v>
      </c>
      <c r="G140" s="92">
        <f>IFERROR(MEDIAN(Indicators!H5,Indicators!H9),"")</f>
        <v>39.71674066</v>
      </c>
      <c r="H140" s="92">
        <f>IFERROR(MEDIAN(Indicators!H6,Indicators!H10),"")</f>
        <v>39.36302569</v>
      </c>
      <c r="I140" s="92">
        <f>IFERROR(MEDIAN(Indicators!H7,Indicators!H11),"")</f>
        <v>39.92450681</v>
      </c>
      <c r="J140" s="92">
        <f>IFERROR(MEDIAN(Indicators!H8,Indicators!H12),"")</f>
        <v>38.92249134</v>
      </c>
      <c r="K140" s="68">
        <f t="shared" ref="K140:N140" si="47">IFERROR((C140-G140)/ABS(G140),"")</f>
        <v>0.4498895917</v>
      </c>
      <c r="L140" s="68">
        <f t="shared" si="47"/>
        <v>0.5241639716</v>
      </c>
      <c r="M140" s="68">
        <f t="shared" si="47"/>
        <v>0.5544994733</v>
      </c>
      <c r="N140" s="68">
        <f t="shared" si="47"/>
        <v>0.6719375945</v>
      </c>
    </row>
    <row r="141" ht="15.0" customHeight="1">
      <c r="A141" s="40" t="s">
        <v>186</v>
      </c>
      <c r="B141" s="42" t="s">
        <v>182</v>
      </c>
      <c r="C141" s="78">
        <f>Indicators!I13</f>
        <v>121.3897129</v>
      </c>
      <c r="D141" s="78">
        <f>Indicators!I14</f>
        <v>123.6662453</v>
      </c>
      <c r="E141" s="78">
        <f>Indicators!I15</f>
        <v>121.0779663</v>
      </c>
      <c r="F141" s="78">
        <f>Indicators!I16</f>
        <v>108.8897326</v>
      </c>
      <c r="G141" s="92">
        <f>IFERROR(MEDIAN(Indicators!I5,Indicators!I9),"")</f>
        <v>117.3356949</v>
      </c>
      <c r="H141" s="92">
        <f>IFERROR(MEDIAN(Indicators!I6,Indicators!I10),"")</f>
        <v>115.1753929</v>
      </c>
      <c r="I141" s="92">
        <f>IFERROR(MEDIAN(Indicators!I7,Indicators!I11),"")</f>
        <v>129.7015989</v>
      </c>
      <c r="J141" s="92">
        <f>IFERROR(MEDIAN(Indicators!I8,Indicators!I12),"")</f>
        <v>117.4058799</v>
      </c>
      <c r="K141" s="68">
        <f t="shared" ref="K141:N141" si="48">IFERROR((C141-G141)/ABS(G141),"")</f>
        <v>0.03455059468</v>
      </c>
      <c r="L141" s="68">
        <f t="shared" si="48"/>
        <v>0.07372106249</v>
      </c>
      <c r="M141" s="68">
        <f t="shared" si="48"/>
        <v>-0.06648825206</v>
      </c>
      <c r="N141" s="68">
        <f t="shared" si="48"/>
        <v>-0.07253595219</v>
      </c>
    </row>
    <row r="142" ht="15.0" customHeight="1">
      <c r="A142" s="40" t="s">
        <v>187</v>
      </c>
      <c r="B142" s="42" t="s">
        <v>188</v>
      </c>
      <c r="C142" s="78">
        <f>Indicators!J13</f>
        <v>69.05502952</v>
      </c>
      <c r="D142" s="78">
        <f>Indicators!J14</f>
        <v>78.37919547</v>
      </c>
      <c r="E142" s="78">
        <f>Indicators!J15</f>
        <v>76.99614228</v>
      </c>
      <c r="F142" s="78">
        <f>Indicators!J16</f>
        <v>78.43835989</v>
      </c>
      <c r="G142" s="92">
        <f>IFERROR(MEDIAN(Indicators!J5,Indicators!J9),"")</f>
        <v>80.52868889</v>
      </c>
      <c r="H142" s="92">
        <f>IFERROR(MEDIAN(Indicators!J6,Indicators!J10),"")</f>
        <v>81.96920836</v>
      </c>
      <c r="I142" s="92">
        <f>IFERROR(MEDIAN(Indicators!J7,Indicators!J11),"")</f>
        <v>80.98898436</v>
      </c>
      <c r="J142" s="92">
        <f>IFERROR(MEDIAN(Indicators!J8,Indicators!J12),"")</f>
        <v>78.31911558</v>
      </c>
      <c r="K142" s="68">
        <f t="shared" ref="K142:N142" si="49">IFERROR((C142-G142)/ABS(G142),"")</f>
        <v>-0.1424791527</v>
      </c>
      <c r="L142" s="68">
        <f t="shared" si="49"/>
        <v>-0.04379709118</v>
      </c>
      <c r="M142" s="68">
        <f t="shared" si="49"/>
        <v>-0.04930105136</v>
      </c>
      <c r="N142" s="68">
        <f t="shared" si="49"/>
        <v>0.001522544064</v>
      </c>
    </row>
    <row r="143" ht="15.0" customHeight="1">
      <c r="A143" s="40" t="s">
        <v>190</v>
      </c>
      <c r="B143" s="42" t="s">
        <v>182</v>
      </c>
      <c r="C143" s="78">
        <f>Indicators!K13</f>
        <v>109.9195723</v>
      </c>
      <c r="D143" s="78">
        <f>Indicators!K14</f>
        <v>105.2827554</v>
      </c>
      <c r="E143" s="78">
        <f>Indicators!K15</f>
        <v>106.1444488</v>
      </c>
      <c r="F143" s="78">
        <f>Indicators!K16</f>
        <v>95.52734927</v>
      </c>
      <c r="G143" s="92">
        <f>IFERROR(MEDIAN(Indicators!K5,Indicators!K9),"")</f>
        <v>76.52374666</v>
      </c>
      <c r="H143" s="92">
        <f>IFERROR(MEDIAN(Indicators!K6,Indicators!K10),"")</f>
        <v>72.56921025</v>
      </c>
      <c r="I143" s="92">
        <f>IFERROR(MEDIAN(Indicators!K7,Indicators!K11),"")</f>
        <v>88.63712134</v>
      </c>
      <c r="J143" s="92">
        <f>IFERROR(MEDIAN(Indicators!K8,Indicators!K12),"")</f>
        <v>78.00925566</v>
      </c>
      <c r="K143" s="68">
        <f t="shared" ref="K143:N143" si="50">IFERROR((C143-G143)/ABS(G143),"")</f>
        <v>0.4364112723</v>
      </c>
      <c r="L143" s="68">
        <f t="shared" si="50"/>
        <v>0.4507909759</v>
      </c>
      <c r="M143" s="68">
        <f t="shared" si="50"/>
        <v>0.1975168779</v>
      </c>
      <c r="N143" s="68">
        <f t="shared" si="50"/>
        <v>0.2245642964</v>
      </c>
    </row>
    <row r="144" ht="15.0" customHeight="1">
      <c r="A144" s="40" t="s">
        <v>140</v>
      </c>
      <c r="B144" s="42" t="s">
        <v>164</v>
      </c>
      <c r="C144" s="85">
        <f>Indicators!L13</f>
        <v>67.84069887</v>
      </c>
      <c r="D144" s="85">
        <f>Indicators!L14</f>
        <v>75.12279294</v>
      </c>
      <c r="E144" s="85">
        <f>Indicators!L15</f>
        <v>61.13386349</v>
      </c>
      <c r="F144" s="85">
        <f>Indicators!L16</f>
        <v>49.82726779</v>
      </c>
      <c r="G144" s="93">
        <f>IFERROR(MEDIAN(Indicators!L5,Indicators!L9),"")</f>
        <v>36.88530647</v>
      </c>
      <c r="H144" s="93">
        <f>IFERROR(MEDIAN(Indicators!L6,Indicators!L10),"")</f>
        <v>41.92010172</v>
      </c>
      <c r="I144" s="93">
        <f>IFERROR(MEDIAN(Indicators!L7,Indicators!L11),"")</f>
        <v>34.31407774</v>
      </c>
      <c r="J144" s="93">
        <f>IFERROR(MEDIAN(Indicators!L8,Indicators!L12),"")</f>
        <v>40.48310977</v>
      </c>
      <c r="K144" s="68">
        <f t="shared" ref="K144:N144" si="51">IFERROR((C144-G144)/ABS(G144),"")</f>
        <v>0.8392337046</v>
      </c>
      <c r="L144" s="68">
        <f t="shared" si="51"/>
        <v>0.7920470096</v>
      </c>
      <c r="M144" s="68">
        <f t="shared" si="51"/>
        <v>0.7815971613</v>
      </c>
      <c r="N144" s="68">
        <f t="shared" si="51"/>
        <v>0.2308162112</v>
      </c>
    </row>
    <row r="145" ht="15.0" customHeight="1">
      <c r="A145" s="40" t="s">
        <v>144</v>
      </c>
      <c r="B145" s="42" t="s">
        <v>182</v>
      </c>
      <c r="C145" s="63">
        <f>Indicators!M13</f>
        <v>1.779694927</v>
      </c>
      <c r="D145" s="63">
        <f>Indicators!M14</f>
        <v>1.408328032</v>
      </c>
      <c r="E145" s="63">
        <f>Indicators!M15</f>
        <v>1.436144384</v>
      </c>
      <c r="F145" s="63">
        <f>Indicators!M16</f>
        <v>1.618382689</v>
      </c>
      <c r="G145" s="91">
        <f>IFERROR(MEDIAN(Indicators!M5,Indicators!M9),"")</f>
        <v>1.6387564</v>
      </c>
      <c r="H145" s="91">
        <f>IFERROR(MEDIAN(Indicators!M6,Indicators!M10),"")</f>
        <v>1.226035489</v>
      </c>
      <c r="I145" s="91">
        <f>IFERROR(MEDIAN(Indicators!M7,Indicators!M11),"")</f>
        <v>1.302137018</v>
      </c>
      <c r="J145" s="91">
        <f>IFERROR(MEDIAN(Indicators!M8,Indicators!M12),"")</f>
        <v>1.346483764</v>
      </c>
      <c r="K145" s="68">
        <f t="shared" ref="K145:N145" si="52">IFERROR((C145-G145)/ABS(G145),"")</f>
        <v>0.08600334171</v>
      </c>
      <c r="L145" s="68">
        <f t="shared" si="52"/>
        <v>0.1486845566</v>
      </c>
      <c r="M145" s="68">
        <f t="shared" si="52"/>
        <v>0.1029134143</v>
      </c>
      <c r="N145" s="68">
        <f t="shared" si="52"/>
        <v>0.2019325682</v>
      </c>
    </row>
    <row r="146" ht="15.0" customHeight="1">
      <c r="A146" s="40" t="s">
        <v>152</v>
      </c>
      <c r="B146" s="42" t="s">
        <v>164</v>
      </c>
      <c r="C146" s="63">
        <f>Indicators!N13</f>
        <v>0.3088062435</v>
      </c>
      <c r="D146" s="63">
        <f>Indicators!N14</f>
        <v>0.6809305369</v>
      </c>
      <c r="E146" s="63">
        <f>Indicators!N15</f>
        <v>0.5029634981</v>
      </c>
      <c r="F146" s="63">
        <f>Indicators!N16</f>
        <v>0.5909464087</v>
      </c>
      <c r="G146" s="91">
        <f>IFERROR(MEDIAN(Indicators!N5,Indicators!N9),"")</f>
        <v>0.5352433989</v>
      </c>
      <c r="H146" s="91">
        <f>IFERROR(MEDIAN(Indicators!N6,Indicators!N10),"")</f>
        <v>0.8252879275</v>
      </c>
      <c r="I146" s="91">
        <f>IFERROR(MEDIAN(Indicators!N7,Indicators!N11),"")</f>
        <v>0.6124662794</v>
      </c>
      <c r="J146" s="91">
        <f>IFERROR(MEDIAN(Indicators!N8,Indicators!N12),"")</f>
        <v>0.8108004306</v>
      </c>
      <c r="K146" s="68">
        <f t="shared" ref="K146:N146" si="53">IFERROR((C146-G146)/ABS(G146),"")</f>
        <v>-0.4230545503</v>
      </c>
      <c r="L146" s="68">
        <f t="shared" si="53"/>
        <v>-0.1749176085</v>
      </c>
      <c r="M146" s="68">
        <f t="shared" si="53"/>
        <v>-0.1787898942</v>
      </c>
      <c r="N146" s="68">
        <f t="shared" si="53"/>
        <v>-0.2711567651</v>
      </c>
    </row>
    <row r="147" ht="15.0" customHeight="1">
      <c r="A147" s="40" t="s">
        <v>82</v>
      </c>
      <c r="B147" s="42" t="s">
        <v>164</v>
      </c>
      <c r="C147" s="63">
        <f>Indicators!O13</f>
        <v>14.26602859</v>
      </c>
      <c r="D147" s="63">
        <f>Indicators!O14</f>
        <v>12.48531083</v>
      </c>
      <c r="E147" s="63">
        <f>Indicators!O15</f>
        <v>9.820180775</v>
      </c>
      <c r="F147" s="63">
        <f>Indicators!O16</f>
        <v>9.374902878</v>
      </c>
      <c r="G147" s="91">
        <f>IFERROR(MEDIAN(Indicators!O5,Indicators!O9),"")</f>
        <v>20.21335732</v>
      </c>
      <c r="H147" s="91">
        <f>IFERROR(MEDIAN(Indicators!O6,Indicators!O10),"")</f>
        <v>21.10871756</v>
      </c>
      <c r="I147" s="91">
        <f>IFERROR(MEDIAN(Indicators!O7,Indicators!O11),"")</f>
        <v>18.45878982</v>
      </c>
      <c r="J147" s="91">
        <f>IFERROR(MEDIAN(Indicators!O8,Indicators!O12),"")</f>
        <v>17.61177626</v>
      </c>
      <c r="K147" s="68">
        <f t="shared" ref="K147:N147" si="54">IFERROR((C147-G147)/ABS(G147),"")</f>
        <v>-0.2942276553</v>
      </c>
      <c r="L147" s="68">
        <f t="shared" si="54"/>
        <v>-0.4085234788</v>
      </c>
      <c r="M147" s="68">
        <f t="shared" si="54"/>
        <v>-0.4679943338</v>
      </c>
      <c r="N147" s="68">
        <f t="shared" si="54"/>
        <v>-0.4676912346</v>
      </c>
    </row>
    <row r="148" ht="15.0" customHeight="1">
      <c r="A148" s="40" t="s">
        <v>87</v>
      </c>
      <c r="B148" s="42" t="s">
        <v>164</v>
      </c>
      <c r="C148" s="63">
        <f>Indicators!P13</f>
        <v>8.965619787</v>
      </c>
      <c r="D148" s="63">
        <f>Indicators!P14</f>
        <v>10.12496717</v>
      </c>
      <c r="E148" s="63">
        <f>Indicators!P15</f>
        <v>10.7182491</v>
      </c>
      <c r="F148" s="63">
        <f>Indicators!P16</f>
        <v>10.22523036</v>
      </c>
      <c r="G148" s="91">
        <f>IFERROR(MEDIAN(Indicators!P5,Indicators!P9),"")</f>
        <v>6.894232167</v>
      </c>
      <c r="H148" s="91">
        <f>IFERROR(MEDIAN(Indicators!P6,Indicators!P10),"")</f>
        <v>7.795113776</v>
      </c>
      <c r="I148" s="91">
        <f>IFERROR(MEDIAN(Indicators!P7,Indicators!P11),"")</f>
        <v>7.905076777</v>
      </c>
      <c r="J148" s="91">
        <f>IFERROR(MEDIAN(Indicators!P8,Indicators!P12),"")</f>
        <v>8.004660001</v>
      </c>
      <c r="K148" s="68">
        <f t="shared" ref="K148:N148" si="55">IFERROR((C148-G148)/ABS(G148),"")</f>
        <v>0.3004522578</v>
      </c>
      <c r="L148" s="68">
        <f t="shared" si="55"/>
        <v>0.2988863867</v>
      </c>
      <c r="M148" s="68">
        <f t="shared" si="55"/>
        <v>0.3558690708</v>
      </c>
      <c r="N148" s="68">
        <f t="shared" si="55"/>
        <v>0.2774097032</v>
      </c>
    </row>
    <row r="149" ht="14.25" customHeight="1"/>
    <row r="150" ht="18.0" customHeight="1">
      <c r="A150" s="28" t="s">
        <v>196</v>
      </c>
    </row>
    <row r="151" ht="31.5" customHeight="1">
      <c r="A151" s="4" t="s">
        <v>128</v>
      </c>
      <c r="B151" s="29" t="s">
        <v>129</v>
      </c>
      <c r="C151" s="4" t="str">
        <f>"Company "&amp;Inputs!B8</f>
        <v>Company FY26</v>
      </c>
      <c r="D151" s="29" t="s">
        <v>197</v>
      </c>
      <c r="E151" s="29" t="s">
        <v>198</v>
      </c>
      <c r="F151" s="29" t="s">
        <v>199</v>
      </c>
      <c r="G151" s="29" t="s">
        <v>200</v>
      </c>
    </row>
    <row r="152" ht="15.0" customHeight="1">
      <c r="A152" s="40" t="str">
        <f>$A$6</f>
        <v>Current ratio</v>
      </c>
      <c r="B152" s="42" t="str">
        <f>$B$6</f>
        <v>Below</v>
      </c>
      <c r="C152" s="94">
        <f>Indicators!C16</f>
        <v>3.747668854</v>
      </c>
      <c r="D152" s="95">
        <f>$C$6</f>
        <v>1</v>
      </c>
      <c r="E152" s="95">
        <f>$D$6</f>
        <v>1.5</v>
      </c>
      <c r="F152" s="66">
        <f t="shared" ref="F152:F159" si="56">IFERROR(IF(B152="Below",C152-D152,IF(C152&lt;0,C152,D152-C152)),"")</f>
        <v>2.747668854</v>
      </c>
      <c r="G152" s="70" t="str">
        <f t="shared" ref="G152:G159" si="57">IF(C152="","",IF(B152="Below",IF(C152&lt;D152,"Distress",IF(C152&lt;E152,"Watch","Safe")),IF(OR(C152&lt;0,C152&gt;D152),"Distress",IF(C152&gt;E152,"Watch","Safe"))))</f>
        <v>Safe</v>
      </c>
    </row>
    <row r="153" ht="15.0" customHeight="1">
      <c r="A153" s="40" t="str">
        <f>$A$7</f>
        <v>Quick ratio</v>
      </c>
      <c r="B153" s="42" t="str">
        <f>$B$7</f>
        <v>Below</v>
      </c>
      <c r="C153" s="94">
        <f>Indicators!D16</f>
        <v>2.751186432</v>
      </c>
      <c r="D153" s="95">
        <f>$C$7</f>
        <v>0.7</v>
      </c>
      <c r="E153" s="95">
        <f>$D$7</f>
        <v>1</v>
      </c>
      <c r="F153" s="66">
        <f t="shared" si="56"/>
        <v>2.051186432</v>
      </c>
      <c r="G153" s="70" t="str">
        <f t="shared" si="57"/>
        <v>Safe</v>
      </c>
    </row>
    <row r="154" ht="15.0" customHeight="1">
      <c r="A154" s="40" t="str">
        <f>$A$8</f>
        <v>WC / Total assets</v>
      </c>
      <c r="B154" s="42" t="str">
        <f>$B$8</f>
        <v>Below</v>
      </c>
      <c r="C154" s="94">
        <f>Indicators!G16</f>
        <v>0.4821088728</v>
      </c>
      <c r="D154" s="95">
        <f>$C$8</f>
        <v>0</v>
      </c>
      <c r="E154" s="95">
        <f>$D$8</f>
        <v>0.1</v>
      </c>
      <c r="F154" s="66">
        <f t="shared" si="56"/>
        <v>0.4821088728</v>
      </c>
      <c r="G154" s="70" t="str">
        <f t="shared" si="57"/>
        <v>Safe</v>
      </c>
    </row>
    <row r="155" ht="15.0" customHeight="1">
      <c r="A155" s="40" t="str">
        <f>$A$9</f>
        <v>Interest coverage (x)</v>
      </c>
      <c r="B155" s="42" t="str">
        <f>$B$9</f>
        <v>Below</v>
      </c>
      <c r="C155" s="96">
        <f>Indicators!L16</f>
        <v>49.82726779</v>
      </c>
      <c r="D155" s="95">
        <f>$C$9</f>
        <v>1.5</v>
      </c>
      <c r="E155" s="95">
        <f>$D$9</f>
        <v>3</v>
      </c>
      <c r="F155" s="66">
        <f t="shared" si="56"/>
        <v>48.32726779</v>
      </c>
      <c r="G155" s="70" t="str">
        <f t="shared" si="57"/>
        <v>Safe</v>
      </c>
    </row>
    <row r="156" ht="15.0" customHeight="1">
      <c r="A156" s="40" t="str">
        <f>$A$10</f>
        <v>Liabilities / EBITDA (x)</v>
      </c>
      <c r="B156" s="42" t="str">
        <f>$B$10</f>
        <v>Above</v>
      </c>
      <c r="C156" s="94">
        <f>Indicators!M16</f>
        <v>1.618382689</v>
      </c>
      <c r="D156" s="95">
        <f>$C$10</f>
        <v>4</v>
      </c>
      <c r="E156" s="95">
        <f>$D$10</f>
        <v>3</v>
      </c>
      <c r="F156" s="66">
        <f t="shared" si="56"/>
        <v>2.381617311</v>
      </c>
      <c r="G156" s="70" t="str">
        <f t="shared" si="57"/>
        <v>Safe</v>
      </c>
    </row>
    <row r="157" ht="15.0" customHeight="1">
      <c r="A157" s="40" t="str">
        <f>$A$11</f>
        <v>OCF / Current liabilities</v>
      </c>
      <c r="B157" s="42" t="str">
        <f>$B$11</f>
        <v>Below</v>
      </c>
      <c r="C157" s="94">
        <f>Indicators!N16</f>
        <v>0.5909464087</v>
      </c>
      <c r="D157" s="95">
        <f>$C$11</f>
        <v>0</v>
      </c>
      <c r="E157" s="95">
        <f>$D$11</f>
        <v>0.4</v>
      </c>
      <c r="F157" s="66">
        <f t="shared" si="56"/>
        <v>0.5909464087</v>
      </c>
      <c r="G157" s="70" t="str">
        <f t="shared" si="57"/>
        <v>Safe</v>
      </c>
    </row>
    <row r="158" ht="15.0" customHeight="1">
      <c r="A158" s="40" t="str">
        <f>$A$12</f>
        <v>Altman Z (classic)</v>
      </c>
      <c r="B158" s="42" t="str">
        <f>$B$12</f>
        <v>Below</v>
      </c>
      <c r="C158" s="94">
        <f>Indicators!O16</f>
        <v>9.374902878</v>
      </c>
      <c r="D158" s="95">
        <f>$C$12</f>
        <v>1.81</v>
      </c>
      <c r="E158" s="95">
        <f>$D$12</f>
        <v>2.99</v>
      </c>
      <c r="F158" s="66">
        <f t="shared" si="56"/>
        <v>7.564902878</v>
      </c>
      <c r="G158" s="70" t="str">
        <f t="shared" si="57"/>
        <v>Safe</v>
      </c>
    </row>
    <row r="159" ht="15.0" customHeight="1">
      <c r="A159" s="40" t="str">
        <f>$A$13</f>
        <v>Altman Z″ (private)</v>
      </c>
      <c r="B159" s="42" t="str">
        <f>$B$13</f>
        <v>Below</v>
      </c>
      <c r="C159" s="94">
        <f>Indicators!P16</f>
        <v>10.22523036</v>
      </c>
      <c r="D159" s="95">
        <f>$C$13</f>
        <v>1.1</v>
      </c>
      <c r="E159" s="95">
        <f>$D$13</f>
        <v>2.6</v>
      </c>
      <c r="F159" s="66">
        <f t="shared" si="56"/>
        <v>9.125230356</v>
      </c>
      <c r="G159" s="70" t="str">
        <f t="shared" si="57"/>
        <v>Safe</v>
      </c>
    </row>
    <row r="160" ht="14.25" customHeight="1"/>
    <row r="161" ht="14.25" customHeight="1"/>
    <row r="162" ht="18.0" customHeight="1">
      <c r="A162" s="28" t="s">
        <v>201</v>
      </c>
    </row>
    <row r="163" ht="13.5" customHeight="1">
      <c r="A163" s="27" t="s">
        <v>202</v>
      </c>
    </row>
    <row r="164" ht="13.5" customHeight="1">
      <c r="A164" s="27" t="s">
        <v>203</v>
      </c>
    </row>
    <row r="165" ht="13.5" customHeight="1">
      <c r="A165" s="27" t="s">
        <v>204</v>
      </c>
    </row>
    <row r="166" ht="13.5" customHeight="1">
      <c r="A166" s="27" t="s">
        <v>205</v>
      </c>
    </row>
    <row r="167" ht="13.5" customHeight="1">
      <c r="A167" s="27" t="s">
        <v>206</v>
      </c>
    </row>
    <row r="168" ht="13.5" customHeight="1">
      <c r="A168" s="27" t="s">
        <v>207</v>
      </c>
    </row>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E5:J5"/>
    <mergeCell ref="E6:J6"/>
    <mergeCell ref="E7:J7"/>
    <mergeCell ref="E8:J8"/>
    <mergeCell ref="E9:J9"/>
    <mergeCell ref="E10:J10"/>
    <mergeCell ref="E11:J11"/>
    <mergeCell ref="C85:F85"/>
    <mergeCell ref="C134:F134"/>
    <mergeCell ref="G134:J134"/>
    <mergeCell ref="K134:N134"/>
    <mergeCell ref="E12:J12"/>
    <mergeCell ref="E13:J13"/>
    <mergeCell ref="C36:F36"/>
    <mergeCell ref="G36:J36"/>
    <mergeCell ref="K36:N36"/>
    <mergeCell ref="G85:J85"/>
    <mergeCell ref="K85:N85"/>
  </mergeCells>
  <conditionalFormatting sqref="J21:J33">
    <cfRule type="cellIs" dxfId="2" priority="1" operator="equal">
      <formula>"Better"</formula>
    </cfRule>
  </conditionalFormatting>
  <conditionalFormatting sqref="J21:J33">
    <cfRule type="cellIs" dxfId="0" priority="2" operator="equal">
      <formula>"Weaker"</formula>
    </cfRule>
  </conditionalFormatting>
  <conditionalFormatting sqref="J21:J33">
    <cfRule type="cellIs" dxfId="6" priority="3" operator="equal">
      <formula>"In line"</formula>
    </cfRule>
  </conditionalFormatting>
  <conditionalFormatting sqref="I21:I33">
    <cfRule type="expression" dxfId="2" priority="4">
      <formula>AND(ISNUMBER(I21),OR(AND($B21="Higher",I21&gt;$C$15),AND($B21="Lower",I21&lt;-$C$15)))</formula>
    </cfRule>
  </conditionalFormatting>
  <conditionalFormatting sqref="I21:I33">
    <cfRule type="expression" dxfId="0" priority="5">
      <formula>AND(ISNUMBER(I21),OR(AND($B21="Higher",I21&lt;-$C$15),AND($B21="Lower",I21&gt;$C$15)))</formula>
    </cfRule>
  </conditionalFormatting>
  <conditionalFormatting sqref="K38:N50">
    <cfRule type="expression" dxfId="2" priority="6">
      <formula>AND(ISNUMBER(K38),OR(AND($B38="Higher",K38&gt;$C$15),AND($B38="Lower",K38&lt;-$C$15)))</formula>
    </cfRule>
  </conditionalFormatting>
  <conditionalFormatting sqref="K38:N50">
    <cfRule type="expression" dxfId="0" priority="7">
      <formula>AND(ISNUMBER(K38),OR(AND($B38="Higher",K38&lt;-$C$15),AND($B38="Lower",K38&gt;$C$15)))</formula>
    </cfRule>
  </conditionalFormatting>
  <conditionalFormatting sqref="G54:G61">
    <cfRule type="cellIs" dxfId="0" priority="8" operator="equal">
      <formula>"Distress"</formula>
    </cfRule>
  </conditionalFormatting>
  <conditionalFormatting sqref="G54:G61">
    <cfRule type="cellIs" dxfId="1" priority="9" operator="equal">
      <formula>"Watch"</formula>
    </cfRule>
  </conditionalFormatting>
  <conditionalFormatting sqref="G54:G61">
    <cfRule type="cellIs" dxfId="2" priority="10" operator="equal">
      <formula>"Safe"</formula>
    </cfRule>
  </conditionalFormatting>
  <conditionalFormatting sqref="J70:J82">
    <cfRule type="cellIs" dxfId="2" priority="11" operator="equal">
      <formula>"Better"</formula>
    </cfRule>
  </conditionalFormatting>
  <conditionalFormatting sqref="J70:J82">
    <cfRule type="cellIs" dxfId="0" priority="12" operator="equal">
      <formula>"Weaker"</formula>
    </cfRule>
  </conditionalFormatting>
  <conditionalFormatting sqref="J70:J82">
    <cfRule type="cellIs" dxfId="6" priority="13" operator="equal">
      <formula>"In line"</formula>
    </cfRule>
  </conditionalFormatting>
  <conditionalFormatting sqref="I70:I82">
    <cfRule type="expression" dxfId="2" priority="14">
      <formula>AND(ISNUMBER(I70),OR(AND($B70="Higher",I70&gt;$C$15),AND($B70="Lower",I70&lt;-$C$15)))</formula>
    </cfRule>
  </conditionalFormatting>
  <conditionalFormatting sqref="I70:I82">
    <cfRule type="expression" dxfId="0" priority="15">
      <formula>AND(ISNUMBER(I70),OR(AND($B70="Higher",I70&lt;-$C$15),AND($B70="Lower",I70&gt;$C$15)))</formula>
    </cfRule>
  </conditionalFormatting>
  <conditionalFormatting sqref="K87:N99">
    <cfRule type="expression" dxfId="2" priority="16">
      <formula>AND(ISNUMBER(K87),OR(AND($B87="Higher",K87&gt;$C$15),AND($B87="Lower",K87&lt;-$C$15)))</formula>
    </cfRule>
  </conditionalFormatting>
  <conditionalFormatting sqref="K87:N99">
    <cfRule type="expression" dxfId="0" priority="17">
      <formula>AND(ISNUMBER(K87),OR(AND($B87="Higher",K87&lt;-$C$15),AND($B87="Lower",K87&gt;$C$15)))</formula>
    </cfRule>
  </conditionalFormatting>
  <conditionalFormatting sqref="G103:G110">
    <cfRule type="cellIs" dxfId="0" priority="18" operator="equal">
      <formula>"Distress"</formula>
    </cfRule>
  </conditionalFormatting>
  <conditionalFormatting sqref="G103:G110">
    <cfRule type="cellIs" dxfId="1" priority="19" operator="equal">
      <formula>"Watch"</formula>
    </cfRule>
  </conditionalFormatting>
  <conditionalFormatting sqref="G103:G110">
    <cfRule type="cellIs" dxfId="2" priority="20" operator="equal">
      <formula>"Safe"</formula>
    </cfRule>
  </conditionalFormatting>
  <conditionalFormatting sqref="J119:J131">
    <cfRule type="cellIs" dxfId="2" priority="21" operator="equal">
      <formula>"Better"</formula>
    </cfRule>
  </conditionalFormatting>
  <conditionalFormatting sqref="J119:J131">
    <cfRule type="cellIs" dxfId="0" priority="22" operator="equal">
      <formula>"Weaker"</formula>
    </cfRule>
  </conditionalFormatting>
  <conditionalFormatting sqref="J119:J131">
    <cfRule type="cellIs" dxfId="6" priority="23" operator="equal">
      <formula>"In line"</formula>
    </cfRule>
  </conditionalFormatting>
  <conditionalFormatting sqref="I119:I131">
    <cfRule type="expression" dxfId="2" priority="24">
      <formula>AND(ISNUMBER(I119),OR(AND($B119="Higher",I119&gt;$C$15),AND($B119="Lower",I119&lt;-$C$15)))</formula>
    </cfRule>
  </conditionalFormatting>
  <conditionalFormatting sqref="I119:I131">
    <cfRule type="expression" dxfId="0" priority="25">
      <formula>AND(ISNUMBER(I119),OR(AND($B119="Higher",I119&lt;-$C$15),AND($B119="Lower",I119&gt;$C$15)))</formula>
    </cfRule>
  </conditionalFormatting>
  <conditionalFormatting sqref="K136:N148">
    <cfRule type="expression" dxfId="2" priority="26">
      <formula>AND(ISNUMBER(K136),OR(AND($B136="Higher",K136&gt;$C$15),AND($B136="Lower",K136&lt;-$C$15)))</formula>
    </cfRule>
  </conditionalFormatting>
  <conditionalFormatting sqref="K136:N148">
    <cfRule type="expression" dxfId="0" priority="27">
      <formula>AND(ISNUMBER(K136),OR(AND($B136="Higher",K136&lt;-$C$15),AND($B136="Lower",K136&gt;$C$15)))</formula>
    </cfRule>
  </conditionalFormatting>
  <conditionalFormatting sqref="G152:G159">
    <cfRule type="cellIs" dxfId="0" priority="28" operator="equal">
      <formula>"Distress"</formula>
    </cfRule>
  </conditionalFormatting>
  <conditionalFormatting sqref="G152:G159">
    <cfRule type="cellIs" dxfId="1" priority="29" operator="equal">
      <formula>"Watch"</formula>
    </cfRule>
  </conditionalFormatting>
  <conditionalFormatting sqref="G152:G159">
    <cfRule type="cellIs" dxfId="2" priority="30" operator="equal">
      <formula>"Safe"</formula>
    </cfRule>
  </conditionalFormatting>
  <printOptions/>
  <pageMargins bottom="0.6" footer="0.0" header="0.0" left="0.5" right="0.5" top="0.6"/>
  <pageSetup fitToHeight="0" orientation="landscape"/>
  <drawing r:id="rId1"/>
</worksheet>
</file>