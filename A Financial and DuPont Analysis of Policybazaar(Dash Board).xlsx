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RATEEK SINGH\Desktop\"/>
    </mc:Choice>
  </mc:AlternateContent>
  <xr:revisionPtr revIDLastSave="0" documentId="13_ncr:9_{E66790FC-7712-4B98-B22E-EEEB1F631A8E}" xr6:coauthVersionLast="47" xr6:coauthVersionMax="47" xr10:uidLastSave="{00000000-0000-0000-0000-000000000000}"/>
  <bookViews>
    <workbookView xWindow="-110" yWindow="-110" windowWidth="19420" windowHeight="10300" activeTab="3" xr2:uid="{B6F49FCA-6F00-4708-870C-EA980010B758}"/>
  </bookViews>
  <sheets>
    <sheet name="RATIO REPORT" sheetId="2" r:id="rId1"/>
    <sheet name="dupont model" sheetId="8" r:id="rId2"/>
    <sheet name="Dupont dashboard_" sheetId="16" r:id="rId3"/>
    <sheet name="key ratio" sheetId="11" r:id="rId4"/>
    <sheet name="solvency" sheetId="3" r:id="rId5"/>
    <sheet name="liquidity" sheetId="5" r:id="rId6"/>
    <sheet name="effiency" sheetId="6" r:id="rId7"/>
    <sheet name="Profitablility ratio" sheetId="7" r:id="rId8"/>
  </sheets>
  <definedNames>
    <definedName name="Slicer_Year">#N/A</definedName>
    <definedName name="Slicer_Year1">#N/A</definedName>
  </definedNames>
  <calcPr calcId="0"/>
  <pivotCaches>
    <pivotCache cacheId="6" r:id="rId9"/>
    <pivotCache cacheId="28"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<sst xmlns="http://schemas.openxmlformats.org/spreadsheetml/2006/main" count="110" uniqueCount="67">
  <si>
    <t>Finance &gt;&gt;Key Financial Ratios (Consolidated)&gt;&gt;PB Fintech Ltd(Curr. Rs in )</t>
  </si>
  <si>
    <t>Year</t>
  </si>
  <si>
    <t>Key Ratios</t>
  </si>
  <si>
    <t>solvency</t>
  </si>
  <si>
    <t>Debt-Equity Ratio</t>
  </si>
  <si>
    <t>Long Term Debt-Equity Ratio</t>
  </si>
  <si>
    <t>Current Ratio</t>
  </si>
  <si>
    <t>Turnover Ratios</t>
  </si>
  <si>
    <t>Fixed Assets Turnover Ratio</t>
  </si>
  <si>
    <t>Inventory Turnover Ratio</t>
  </si>
  <si>
    <t>Debtors Turnover Ratio</t>
  </si>
  <si>
    <t>Total Asset Turnover Ratio</t>
  </si>
  <si>
    <t>Interest Cover Ratio</t>
  </si>
  <si>
    <t>Profitable ratio</t>
  </si>
  <si>
    <t>PBIDTM (%)</t>
  </si>
  <si>
    <t>PBITM (%)</t>
  </si>
  <si>
    <t>PBDTM (%)</t>
  </si>
  <si>
    <t>ROCE (%)</t>
  </si>
  <si>
    <t>RONW (%)</t>
  </si>
  <si>
    <t>efficency</t>
  </si>
  <si>
    <t>liquidity</t>
  </si>
  <si>
    <t>Row Labels</t>
  </si>
  <si>
    <t>Grand Total</t>
  </si>
  <si>
    <t>Sum of Debt-Equity Ratio</t>
  </si>
  <si>
    <t>Sum of Long Term Debt-Equity Ratio</t>
  </si>
  <si>
    <t>Sum of Interest Cover Ratio</t>
  </si>
  <si>
    <t>Sum of Current Ratio</t>
  </si>
  <si>
    <t>Sum of Fixed Assets Turnover Ratio</t>
  </si>
  <si>
    <t>Sum of Inventory Turnover Ratio</t>
  </si>
  <si>
    <t>Sum of Debtors Turnover Ratio</t>
  </si>
  <si>
    <t>Sum of Total Asset Turnover Ratio</t>
  </si>
  <si>
    <t>Sum of PBIDTM (%)</t>
  </si>
  <si>
    <t>Sum of PBITM (%)</t>
  </si>
  <si>
    <t>Sum of PBDTM (%)</t>
  </si>
  <si>
    <t>Sum of ROCE (%)</t>
  </si>
  <si>
    <t>Sum of RONW (%)</t>
  </si>
  <si>
    <t>Finance &gt;&gt;Dupont Model New (Consolidated)&gt;&gt;PB Fintech Ltd(Curr. Rs in )</t>
  </si>
  <si>
    <t>NP / PBT (X)</t>
  </si>
  <si>
    <t>PBT / EBIT (X)</t>
  </si>
  <si>
    <t>EBIT / Sales (X)</t>
  </si>
  <si>
    <t>Sales / Assets (X)</t>
  </si>
  <si>
    <t>Assets / Equity (X)</t>
  </si>
  <si>
    <t>ROE (X)</t>
  </si>
  <si>
    <t>Dupont Model</t>
  </si>
  <si>
    <t>Sum of 2024</t>
  </si>
  <si>
    <t>Sum of 2023</t>
  </si>
  <si>
    <t>Sum of 2022</t>
  </si>
  <si>
    <t>Sum of 2021</t>
  </si>
  <si>
    <t>Sum of 2020</t>
  </si>
  <si>
    <t>Sum of 2019</t>
  </si>
  <si>
    <t>Sum of 2018</t>
  </si>
  <si>
    <t>Sum of 2016</t>
  </si>
  <si>
    <t>Sum of 2015</t>
  </si>
  <si>
    <t>2019</t>
  </si>
  <si>
    <t>2018</t>
  </si>
  <si>
    <t>2016</t>
  </si>
  <si>
    <t>2015</t>
  </si>
  <si>
    <t>2020</t>
  </si>
  <si>
    <t>2021</t>
  </si>
  <si>
    <t>2022</t>
  </si>
  <si>
    <t>2023</t>
  </si>
  <si>
    <t>2024</t>
  </si>
  <si>
    <t>SOLVENCY RATIO</t>
  </si>
  <si>
    <t>LIQUIDITY RATIO</t>
  </si>
  <si>
    <t>EFFIENCY RATIO</t>
  </si>
  <si>
    <t>PROFITABLILITY RATIO</t>
  </si>
  <si>
    <t>POLICY BAZAAR FINTECH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</si>
</sst>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rgb="FF000000"/>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b/>
      <sz val="10"/>
      <color rgb="FF000000"/>
      <name val="Trebuchet MS"/>
      <family val="2"/>
      <scheme val="minor"/>
    </font>
    <font>
      <sz val="10"/>
      <color rgb="FF000000"/>
      <name val="Trebuchet MS"/>
      <family val="2"/>
      <scheme val="minor"/>
    </font>
    <font>
      <sz val="22"/>
      <color rgb="FF000000"/>
      <name val="Trebuchet MS"/>
      <family val="1"/>
      <scheme val="minor"/>
    </font>
    <font>
      <sz val="18"/>
      <color rgb="FF000000"/>
      <name val="Times New Roman"/>
      <family val="1"/>
    </font>
    <font>
      <sz val="20"/>
      <color rgb="FF000000"/>
      <name val="Trebuchet MS"/>
      <family val="2"/>
      <scheme val="minor"/>
    </font>
    <font>
      <sz val="24"/>
      <color rgb="FF000000"/>
      <name val="Trebuchet MS"/>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6" tint="0.59999389629810485"/>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theme="1"/>
      </left>
      <right style="medium">
        <color theme="1"/>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style="thin">
        <color rgb="FF000000"/>
      </right>
      <top style="medium">
        <color theme="1"/>
      </top>
      <bottom/>
      <diagonal/>
    </border>
    <border>
      <left style="thin">
        <color rgb="FF000000"/>
      </left>
      <right/>
      <top style="medium">
        <color theme="1"/>
      </top>
      <bottom/>
      <diagonal/>
    </border>
    <border>
      <left style="medium">
        <color theme="1"/>
      </left>
      <right/>
      <top style="thin">
        <color rgb="FF000000"/>
      </top>
      <bottom style="thin">
        <color rgb="FF000000"/>
      </bottom>
      <diagonal/>
    </border>
    <border>
      <left/>
      <right style="medium">
        <color theme="1"/>
      </right>
      <top/>
      <bottom style="thin">
        <color rgb="FF000000"/>
      </bottom>
      <diagonal/>
    </border>
    <border>
      <left style="medium">
        <color theme="1"/>
      </left>
      <right style="thin">
        <color rgb="FF000000"/>
      </right>
      <top style="thin">
        <color rgb="FF000000"/>
      </top>
      <bottom style="medium">
        <color theme="1"/>
      </bottom>
      <diagonal/>
    </border>
    <border>
      <left/>
      <right style="thin">
        <color rgb="FF000000"/>
      </right>
      <top/>
      <bottom style="medium">
        <color theme="1"/>
      </bottom>
      <diagonal/>
    </border>
    <border>
      <left style="thin">
        <color rgb="FF000000"/>
      </left>
      <right style="thin">
        <color rgb="FF000000"/>
      </right>
      <top/>
      <bottom style="medium">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8">
    <xf numFmtId="0" fontId="0" fillId="0" borderId="0" xfId="0"/>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19" fillId="0" borderId="10" xfId="0" applyFont="1" applyBorder="1" applyAlignment="1">
      <alignment wrapText="1"/>
    </xf>
    <xf numFmtId="0" fontId="0" fillId="0" borderId="11" xfId="0" applyBorder="1" applyAlignment="1">
      <alignment wrapText="1"/>
    </xf>
    <xf numFmtId="0" fontId="19" fillId="0" borderId="11" xfId="0" applyFont="1" applyBorder="1" applyAlignment="1">
      <alignment wrapText="1"/>
    </xf>
    <xf numFmtId="4" fontId="19" fillId="0" borderId="11" xfId="0" applyNumberFormat="1" applyFont="1" applyBorder="1" applyAlignment="1">
      <alignment wrapText="1"/>
    </xf>
    <xf numFmtId="0" fontId="0" fillId="0" borderId="0" xfId="0" applyNumberFormat="1"/>
    <xf numFmtId="0" fontId="0" fillId="0" borderId="0" xfId="0" pivotButton="1"/>
    <xf numFmtId="0" fontId="0" fillId="0" borderId="0" xfId="0" applyAlignment="1">
      <alignment horizontal="left"/>
    </xf>
    <xf numFmtId="0" fontId="20" fillId="33" borderId="0" xfId="0" applyFont="1" applyFill="1" applyAlignment="1">
      <alignment horizontal="center"/>
    </xf>
    <xf numFmtId="0" fontId="0" fillId="33" borderId="0" xfId="0" applyFill="1" applyAlignment="1">
      <alignment horizontal="center"/>
    </xf>
    <xf numFmtId="0" fontId="0" fillId="34" borderId="0" xfId="0" applyFill="1"/>
    <xf numFmtId="0" fontId="0" fillId="38" borderId="0" xfId="0" applyNumberFormat="1" applyFill="1" applyBorder="1"/>
    <xf numFmtId="0" fontId="0" fillId="38" borderId="17" xfId="0" applyNumberFormat="1" applyFill="1" applyBorder="1"/>
    <xf numFmtId="0" fontId="0" fillId="38" borderId="19" xfId="0" applyNumberFormat="1" applyFill="1" applyBorder="1"/>
    <xf numFmtId="0" fontId="0" fillId="38" borderId="20" xfId="0" applyNumberFormat="1" applyFill="1" applyBorder="1"/>
    <xf numFmtId="0" fontId="0" fillId="38" borderId="13" xfId="0" applyNumberFormat="1" applyFill="1" applyBorder="1"/>
    <xf numFmtId="0" fontId="0" fillId="38" borderId="14" xfId="0" applyNumberFormat="1" applyFill="1" applyBorder="1"/>
    <xf numFmtId="0" fontId="0" fillId="38" borderId="15" xfId="0" applyNumberFormat="1" applyFill="1" applyBorder="1"/>
    <xf numFmtId="0" fontId="0" fillId="38" borderId="18" xfId="0" applyNumberFormat="1" applyFill="1" applyBorder="1"/>
    <xf numFmtId="0" fontId="0" fillId="38" borderId="12" xfId="0" applyFill="1" applyBorder="1"/>
    <xf numFmtId="0" fontId="0" fillId="38" borderId="12" xfId="0" applyFill="1" applyBorder="1" applyAlignment="1">
      <alignment horizontal="left"/>
    </xf>
    <xf numFmtId="0" fontId="0" fillId="38" borderId="21" xfId="0" applyFill="1" applyBorder="1"/>
    <xf numFmtId="0" fontId="0" fillId="38" borderId="22" xfId="0" applyFill="1" applyBorder="1"/>
    <xf numFmtId="0" fontId="0" fillId="38" borderId="23" xfId="0" applyFill="1" applyBorder="1"/>
    <xf numFmtId="0" fontId="0" fillId="38" borderId="16" xfId="0" applyNumberFormat="1" applyFill="1" applyBorder="1"/>
    <xf numFmtId="0" fontId="0" fillId="38" borderId="24" xfId="0" applyFill="1" applyBorder="1" applyAlignment="1">
      <alignment horizontal="left"/>
    </xf>
    <xf numFmtId="0" fontId="0" fillId="38" borderId="25" xfId="0" applyFill="1" applyBorder="1" applyAlignment="1">
      <alignment horizontal="left"/>
    </xf>
    <xf numFmtId="0" fontId="0" fillId="38" borderId="26" xfId="0" applyFill="1" applyBorder="1" applyAlignment="1">
      <alignment horizontal="left"/>
    </xf>
    <xf numFmtId="0" fontId="21" fillId="33" borderId="0" xfId="0" applyFont="1" applyFill="1" applyAlignment="1">
      <alignment horizontal="center"/>
    </xf>
    <xf numFmtId="0" fontId="23" fillId="33" borderId="0" xfId="0" applyFont="1" applyFill="1" applyAlignment="1">
      <alignment horizontal="center"/>
    </xf>
    <xf numFmtId="0" fontId="0" fillId="0" borderId="13" xfId="0" applyBorder="1"/>
    <xf numFmtId="0" fontId="0" fillId="0" borderId="14" xfId="0" applyBorder="1"/>
    <xf numFmtId="0" fontId="0" fillId="36" borderId="14" xfId="0" applyFill="1" applyBorder="1"/>
    <xf numFmtId="0" fontId="0" fillId="36" borderId="27" xfId="0" applyFill="1" applyBorder="1"/>
    <xf numFmtId="0" fontId="0" fillId="34" borderId="14" xfId="0" applyFill="1" applyBorder="1"/>
    <xf numFmtId="0" fontId="0" fillId="35" borderId="14" xfId="0" applyFill="1" applyBorder="1" applyAlignment="1">
      <alignment horizontal="center"/>
    </xf>
    <xf numFmtId="0" fontId="0" fillId="35" borderId="27" xfId="0" applyFill="1" applyBorder="1" applyAlignment="1">
      <alignment horizontal="center"/>
    </xf>
    <xf numFmtId="0" fontId="0" fillId="37" borderId="28" xfId="0" applyFill="1" applyBorder="1" applyAlignment="1">
      <alignment horizontal="center"/>
    </xf>
    <xf numFmtId="0" fontId="0" fillId="37" borderId="14" xfId="0" applyFill="1" applyBorder="1" applyAlignment="1">
      <alignment horizontal="center"/>
    </xf>
    <xf numFmtId="0" fontId="0" fillId="37" borderId="15" xfId="0" applyFill="1" applyBorder="1" applyAlignment="1">
      <alignment horizontal="center"/>
    </xf>
    <xf numFmtId="0" fontId="18" fillId="33" borderId="29" xfId="0" applyFont="1" applyFill="1" applyBorder="1" applyAlignment="1">
      <alignment horizontal="center" vertical="center" wrapText="1"/>
    </xf>
    <xf numFmtId="0" fontId="19" fillId="0" borderId="30" xfId="0" applyFont="1" applyBorder="1" applyAlignment="1">
      <alignment wrapText="1"/>
    </xf>
    <xf numFmtId="0" fontId="18" fillId="33" borderId="31" xfId="0" applyFont="1" applyFill="1" applyBorder="1" applyAlignment="1">
      <alignment horizontal="center" vertical="center" wrapText="1"/>
    </xf>
    <xf numFmtId="0" fontId="18" fillId="0" borderId="32" xfId="0" applyFont="1" applyBorder="1" applyAlignment="1">
      <alignment horizontal="center" vertical="center" wrapText="1"/>
    </xf>
    <xf numFmtId="0" fontId="0" fillId="0" borderId="32" xfId="0" applyBorder="1" applyAlignment="1">
      <alignment wrapText="1"/>
    </xf>
    <xf numFmtId="0" fontId="19" fillId="0" borderId="32" xfId="0" applyFont="1" applyBorder="1" applyAlignment="1">
      <alignment wrapText="1"/>
    </xf>
    <xf numFmtId="4" fontId="19" fillId="0" borderId="32" xfId="0" applyNumberFormat="1" applyFont="1" applyBorder="1" applyAlignment="1">
      <alignment wrapText="1"/>
    </xf>
    <xf numFmtId="0" fontId="19" fillId="0" borderId="20" xfId="0" applyFont="1" applyBorder="1" applyAlignment="1">
      <alignment wrapText="1"/>
    </xf>
    <xf numFmtId="0" fontId="18" fillId="33" borderId="13" xfId="0" applyFont="1" applyFill="1" applyBorder="1" applyAlignment="1">
      <alignment horizontal="center" vertical="center" wrapText="1"/>
    </xf>
    <xf numFmtId="0" fontId="18" fillId="33" borderId="14" xfId="0" applyFont="1" applyFill="1" applyBorder="1" applyAlignment="1">
      <alignment horizontal="center" vertical="center" wrapText="1"/>
    </xf>
    <xf numFmtId="0" fontId="18" fillId="33" borderId="15" xfId="0" applyFont="1" applyFill="1" applyBorder="1" applyAlignment="1">
      <alignment horizontal="center" vertical="center" wrapText="1"/>
    </xf>
    <xf numFmtId="0" fontId="0" fillId="0" borderId="16" xfId="0" applyBorder="1"/>
    <xf numFmtId="0" fontId="18" fillId="0" borderId="30" xfId="0" applyFont="1" applyBorder="1" applyAlignment="1">
      <alignment horizontal="center" vertical="center" wrapText="1"/>
    </xf>
    <xf numFmtId="0" fontId="0" fillId="0" borderId="18" xfId="0" applyBorder="1"/>
    <xf numFmtId="0" fontId="19" fillId="0" borderId="33" xfId="0" applyFont="1" applyBorder="1" applyAlignment="1">
      <alignment wrapText="1"/>
    </xf>
    <xf numFmtId="0" fontId="22"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[FRA_DASHBOARD.xlsx]Dupont dashboard_!PivotTable21</c:name>
    <c:fmtId val="0"/>
  </c:pivotSource>
  <c:chart>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9525">
              <a:solidFill>
                <a:schemeClr val="accent2"/>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4">
                    <a:tint val="96000"/>
                    <a:lumMod val="100000"/>
                  </a:schemeClr>
                </a:gs>
                <a:gs pos="78000">
                  <a:schemeClr val="accent4">
                    <a:shade val="94000"/>
                    <a:lumMod val="94000"/>
                  </a:schemeClr>
                </a:gs>
              </a:gsLst>
              <a:lin ang="5400000" scaled="0"/>
            </a:gradFill>
            <a:ln w="9525">
              <a:solidFill>
                <a:schemeClr val="accent4"/>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5">
                    <a:tint val="96000"/>
                    <a:lumMod val="100000"/>
                  </a:schemeClr>
                </a:gs>
                <a:gs pos="78000">
                  <a:schemeClr val="accent5">
                    <a:shade val="94000"/>
                    <a:lumMod val="94000"/>
                  </a:schemeClr>
                </a:gs>
              </a:gsLst>
              <a:lin ang="5400000" scaled="0"/>
            </a:gradFill>
            <a:ln w="9525">
              <a:solidFill>
                <a:schemeClr val="accent5"/>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6">
                    <a:tint val="96000"/>
                    <a:lumMod val="100000"/>
                  </a:schemeClr>
                </a:gs>
                <a:gs pos="78000">
                  <a:schemeClr val="accent6">
                    <a:shade val="94000"/>
                    <a:lumMod val="94000"/>
                  </a:schemeClr>
                </a:gs>
              </a:gsLst>
              <a:lin ang="5400000" scaled="0"/>
            </a:gradFill>
            <a:ln w="9525">
              <a:solidFill>
                <a:schemeClr val="accent6"/>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lumMod val="60000"/>
                    <a:tint val="96000"/>
                    <a:lumMod val="100000"/>
                  </a:schemeClr>
                </a:gs>
                <a:gs pos="78000">
                  <a:schemeClr val="accent1">
                    <a:lumMod val="60000"/>
                    <a:shade val="94000"/>
                    <a:lumMod val="94000"/>
                  </a:schemeClr>
                </a:gs>
              </a:gsLst>
              <a:lin ang="5400000" scaled="0"/>
            </a:gradFill>
            <a:ln w="9525">
              <a:solidFill>
                <a:schemeClr val="accent1">
                  <a:lumMod val="60000"/>
                </a:schemeClr>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lumMod val="60000"/>
                    <a:tint val="96000"/>
                    <a:lumMod val="100000"/>
                  </a:schemeClr>
                </a:gs>
                <a:gs pos="78000">
                  <a:schemeClr val="accent2">
                    <a:lumMod val="60000"/>
                    <a:shade val="94000"/>
                    <a:lumMod val="94000"/>
                  </a:schemeClr>
                </a:gs>
              </a:gsLst>
              <a:lin ang="5400000" scaled="0"/>
            </a:gradFill>
            <a:ln w="9525">
              <a:solidFill>
                <a:schemeClr val="accent2">
                  <a:lumMod val="60000"/>
                </a:schemeClr>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3">
                    <a:lumMod val="60000"/>
                    <a:tint val="96000"/>
                    <a:lumMod val="100000"/>
                  </a:schemeClr>
                </a:gs>
                <a:gs pos="78000">
                  <a:schemeClr val="accent3">
                    <a:lumMod val="60000"/>
                    <a:shade val="94000"/>
                    <a:lumMod val="94000"/>
                  </a:schemeClr>
                </a:gs>
              </a:gsLst>
              <a:lin ang="5400000" scaled="0"/>
            </a:gradFill>
            <a:ln w="9525">
              <a:solidFill>
                <a:schemeClr val="accent3">
                  <a:lumMod val="60000"/>
                </a:schemeClr>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'Dupont dashboard_'!$B$3</c:f>
              <c:strCache>
                <c:ptCount val="1"/>
                <c:pt idx="0">
                  <c:v>Sum of 2024</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dashboard_'!$B$4:$B$10</c:f>
              <c:numCache>
                <c:formatCode>General</c:formatCode>
                <c:ptCount val="6"/>
                <c:pt idx="0">
                  <c:v>0.87</c:v>
                </c:pt>
                <c:pt idx="1">
                  <c:v>0.03</c:v>
                </c:pt>
                <c:pt idx="2">
                  <c:v>0.87</c:v>
                </c:pt>
                <c:pt idx="3">
                  <c:v>0.74</c:v>
                </c:pt>
                <c:pt idx="4">
                  <c:v>0.01</c:v>
                </c:pt>
                <c:pt idx="5">
                  <c:v>0.57999999999999996</c:v>
                </c:pt>
              </c:numCache>
            </c:numRef>
          </c:val>
          <c:extLst>
            <c:ext xmlns:c16="http://schemas.microsoft.com/office/drawing/2014/chart" uri="{C3380CC4-5D6E-409C-BE32-E72D297353CC}">
              <c16:uniqueId val="{00000000-C232-4194-ACD8-DAE16793F50E}"/>
            </c:ext>
          </c:extLst>
        </c:ser>
        <c:ser>
          <c:idx val="1"/>
          <c:order val="1"/>
          <c:tx>
            <c:strRef>
              <c:f>'Dupont dashboard_'!$C$3</c:f>
              <c:strCache>
                <c:ptCount val="1"/>
                <c:pt idx="0">
                  <c:v>Sum of 2023</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dashboard_'!$C$4:$C$10</c:f>
              <c:numCache>
                <c:formatCode>General</c:formatCode>
                <c:ptCount val="6"/>
                <c:pt idx="0">
                  <c:v>1.04</c:v>
                </c:pt>
                <c:pt idx="1">
                  <c:v>-0.18</c:v>
                </c:pt>
                <c:pt idx="2">
                  <c:v>1</c:v>
                </c:pt>
                <c:pt idx="3">
                  <c:v>1.05</c:v>
                </c:pt>
                <c:pt idx="4">
                  <c:v>-0.09</c:v>
                </c:pt>
                <c:pt idx="5">
                  <c:v>0.45</c:v>
                </c:pt>
              </c:numCache>
            </c:numRef>
          </c:val>
          <c:extLst>
            <c:ext xmlns:c16="http://schemas.microsoft.com/office/drawing/2014/chart" uri="{C3380CC4-5D6E-409C-BE32-E72D297353CC}">
              <c16:uniqueId val="{00000001-C232-4194-ACD8-DAE16793F50E}"/>
            </c:ext>
          </c:extLst>
        </c:ser>
        <c:ser>
          <c:idx val="2"/>
          <c:order val="2"/>
          <c:tx>
            <c:strRef>
              <c:f>'Dupont dashboard_'!$D$3</c:f>
              <c:strCache>
                <c:ptCount val="1"/>
                <c:pt idx="0">
                  <c:v>Sum of 2022</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dashboard_'!$D$4:$D$10</c:f>
              <c:numCache>
                <c:formatCode>General</c:formatCode>
                <c:ptCount val="6"/>
                <c:pt idx="0">
                  <c:v>1.04</c:v>
                </c:pt>
                <c:pt idx="1">
                  <c:v>-0.57999999999999996</c:v>
                </c:pt>
                <c:pt idx="2">
                  <c:v>1</c:v>
                </c:pt>
                <c:pt idx="3">
                  <c:v>1.02</c:v>
                </c:pt>
                <c:pt idx="4">
                  <c:v>-0.23</c:v>
                </c:pt>
                <c:pt idx="5">
                  <c:v>0.37</c:v>
                </c:pt>
              </c:numCache>
            </c:numRef>
          </c:val>
          <c:extLst>
            <c:ext xmlns:c16="http://schemas.microsoft.com/office/drawing/2014/chart" uri="{C3380CC4-5D6E-409C-BE32-E72D297353CC}">
              <c16:uniqueId val="{00000002-C232-4194-ACD8-DAE16793F50E}"/>
            </c:ext>
          </c:extLst>
        </c:ser>
        <c:ser>
          <c:idx val="3"/>
          <c:order val="3"/>
          <c:tx>
            <c:strRef>
              <c:f>'Dupont dashboard_'!$E$3</c:f>
              <c:strCache>
                <c:ptCount val="1"/>
                <c:pt idx="0">
                  <c:v>Sum of 2021</c:v>
                </c:pt>
              </c:strCache>
            </c:strRef>
          </c:tx>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dashboard_'!$E$4:$E$10</c:f>
              <c:numCache>
                <c:formatCode>General</c:formatCode>
                <c:ptCount val="6"/>
                <c:pt idx="0">
                  <c:v>1.08</c:v>
                </c:pt>
                <c:pt idx="1">
                  <c:v>-0.18</c:v>
                </c:pt>
                <c:pt idx="2">
                  <c:v>1.05</c:v>
                </c:pt>
                <c:pt idx="3">
                  <c:v>1.07</c:v>
                </c:pt>
                <c:pt idx="4">
                  <c:v>-0.11</c:v>
                </c:pt>
                <c:pt idx="5">
                  <c:v>0.51</c:v>
                </c:pt>
              </c:numCache>
            </c:numRef>
          </c:val>
          <c:extLst>
            <c:ext xmlns:c16="http://schemas.microsoft.com/office/drawing/2014/chart" uri="{C3380CC4-5D6E-409C-BE32-E72D297353CC}">
              <c16:uniqueId val="{00000003-C232-4194-ACD8-DAE16793F50E}"/>
            </c:ext>
          </c:extLst>
        </c:ser>
        <c:ser>
          <c:idx val="4"/>
          <c:order val="4"/>
          <c:tx>
            <c:strRef>
              <c:f>'Dupont dashboard_'!$F$3</c:f>
              <c:strCache>
                <c:ptCount val="1"/>
                <c:pt idx="0">
                  <c:v>Sum of 2020</c:v>
                </c:pt>
              </c:strCache>
            </c:strRef>
          </c:tx>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dashboard_'!$F$4:$F$10</c:f>
              <c:numCache>
                <c:formatCode>General</c:formatCode>
                <c:ptCount val="6"/>
                <c:pt idx="0">
                  <c:v>1.1299999999999999</c:v>
                </c:pt>
                <c:pt idx="1">
                  <c:v>-0.46</c:v>
                </c:pt>
                <c:pt idx="2">
                  <c:v>1.03</c:v>
                </c:pt>
                <c:pt idx="3">
                  <c:v>1.03</c:v>
                </c:pt>
                <c:pt idx="4">
                  <c:v>-0.43</c:v>
                </c:pt>
                <c:pt idx="5">
                  <c:v>0.78</c:v>
                </c:pt>
              </c:numCache>
            </c:numRef>
          </c:val>
          <c:extLst>
            <c:ext xmlns:c16="http://schemas.microsoft.com/office/drawing/2014/chart" uri="{C3380CC4-5D6E-409C-BE32-E72D297353CC}">
              <c16:uniqueId val="{00000004-C232-4194-ACD8-DAE16793F50E}"/>
            </c:ext>
          </c:extLst>
        </c:ser>
        <c:ser>
          <c:idx val="5"/>
          <c:order val="5"/>
          <c:tx>
            <c:strRef>
              <c:f>'Dupont dashboard_'!$G$3</c:f>
              <c:strCache>
                <c:ptCount val="1"/>
                <c:pt idx="0">
                  <c:v>Sum of 2019</c:v>
                </c:pt>
              </c:strCache>
            </c:strRef>
          </c:tx>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dashboard_'!$G$4:$G$10</c:f>
              <c:numCache>
                <c:formatCode>General</c:formatCode>
                <c:ptCount val="6"/>
                <c:pt idx="0">
                  <c:v>1.2</c:v>
                </c:pt>
                <c:pt idx="1">
                  <c:v>-0.74</c:v>
                </c:pt>
                <c:pt idx="2">
                  <c:v>1.02</c:v>
                </c:pt>
                <c:pt idx="3">
                  <c:v>1.02</c:v>
                </c:pt>
                <c:pt idx="4">
                  <c:v>-0.78</c:v>
                </c:pt>
                <c:pt idx="5">
                  <c:v>0.84</c:v>
                </c:pt>
              </c:numCache>
            </c:numRef>
          </c:val>
          <c:extLst>
            <c:ext xmlns:c16="http://schemas.microsoft.com/office/drawing/2014/chart" uri="{C3380CC4-5D6E-409C-BE32-E72D297353CC}">
              <c16:uniqueId val="{00000005-C232-4194-ACD8-DAE16793F50E}"/>
            </c:ext>
          </c:extLst>
        </c:ser>
        <c:ser>
          <c:idx val="6"/>
          <c:order val="6"/>
          <c:tx>
            <c:strRef>
              <c:f>'Dupont dashboard_'!$H$3</c:f>
              <c:strCache>
                <c:ptCount val="1"/>
                <c:pt idx="0">
                  <c:v>Sum of 2018</c:v>
                </c:pt>
              </c:strCache>
            </c:strRef>
          </c:tx>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dashboard_'!$H$4:$H$10</c:f>
              <c:numCache>
                <c:formatCode>General</c:formatCode>
                <c:ptCount val="6"/>
                <c:pt idx="0">
                  <c:v>1.01</c:v>
                </c:pt>
                <c:pt idx="1">
                  <c:v>-0.17</c:v>
                </c:pt>
                <c:pt idx="2">
                  <c:v>1.45</c:v>
                </c:pt>
                <c:pt idx="3">
                  <c:v>1</c:v>
                </c:pt>
                <c:pt idx="4">
                  <c:v>-0.1</c:v>
                </c:pt>
                <c:pt idx="5">
                  <c:v>0.42</c:v>
                </c:pt>
              </c:numCache>
            </c:numRef>
          </c:val>
          <c:extLst>
            <c:ext xmlns:c16="http://schemas.microsoft.com/office/drawing/2014/chart" uri="{C3380CC4-5D6E-409C-BE32-E72D297353CC}">
              <c16:uniqueId val="{0000000E-C232-4194-ACD8-DAE16793F50E}"/>
            </c:ext>
          </c:extLst>
        </c:ser>
        <c:ser>
          <c:idx val="7"/>
          <c:order val="7"/>
          <c:tx>
            <c:strRef>
              <c:f>'Dupont dashboard_'!$I$3</c:f>
              <c:strCache>
                <c:ptCount val="1"/>
                <c:pt idx="0">
                  <c:v>Sum of 2015</c:v>
                </c:pt>
              </c:strCache>
            </c:strRef>
          </c:tx>
          <c:spPr>
            <a:gradFill rotWithShape="1">
              <a:gsLst>
                <a:gs pos="0">
                  <a:schemeClr val="accent2">
                    <a:lumMod val="60000"/>
                    <a:tint val="96000"/>
                    <a:lumMod val="100000"/>
                  </a:schemeClr>
                </a:gs>
                <a:gs pos="78000">
                  <a:schemeClr val="accent2">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dashboard_'!$I$4:$I$10</c:f>
              <c:numCache>
                <c:formatCode>General</c:formatCode>
                <c:ptCount val="6"/>
                <c:pt idx="0">
                  <c:v>1.03</c:v>
                </c:pt>
                <c:pt idx="1">
                  <c:v>-0.82</c:v>
                </c:pt>
                <c:pt idx="2">
                  <c:v>1</c:v>
                </c:pt>
                <c:pt idx="3">
                  <c:v>1</c:v>
                </c:pt>
                <c:pt idx="4">
                  <c:v>-0.66</c:v>
                </c:pt>
                <c:pt idx="5">
                  <c:v>0.78</c:v>
                </c:pt>
              </c:numCache>
            </c:numRef>
          </c:val>
          <c:extLst>
            <c:ext xmlns:c16="http://schemas.microsoft.com/office/drawing/2014/chart" uri="{C3380CC4-5D6E-409C-BE32-E72D297353CC}">
              <c16:uniqueId val="{0000000F-C232-4194-ACD8-DAE16793F50E}"/>
            </c:ext>
          </c:extLst>
        </c:ser>
        <c:ser>
          <c:idx val="8"/>
          <c:order val="8"/>
          <c:tx>
            <c:strRef>
              <c:f>'Dupont dashboard_'!$J$3</c:f>
              <c:strCache>
                <c:ptCount val="1"/>
                <c:pt idx="0">
                  <c:v>Sum of 2016</c:v>
                </c:pt>
              </c:strCache>
            </c:strRef>
          </c:tx>
          <c:spPr>
            <a:gradFill rotWithShape="1">
              <a:gsLst>
                <a:gs pos="0">
                  <a:schemeClr val="accent3">
                    <a:lumMod val="60000"/>
                    <a:tint val="96000"/>
                    <a:lumMod val="100000"/>
                  </a:schemeClr>
                </a:gs>
                <a:gs pos="78000">
                  <a:schemeClr val="accent3">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dashboard_'!$J$4:$J$10</c:f>
              <c:numCache>
                <c:formatCode>General</c:formatCode>
                <c:ptCount val="6"/>
                <c:pt idx="0">
                  <c:v>1.02</c:v>
                </c:pt>
                <c:pt idx="1">
                  <c:v>-1.4</c:v>
                </c:pt>
                <c:pt idx="2">
                  <c:v>1</c:v>
                </c:pt>
                <c:pt idx="3">
                  <c:v>1</c:v>
                </c:pt>
                <c:pt idx="4">
                  <c:v>-0.63</c:v>
                </c:pt>
                <c:pt idx="5">
                  <c:v>0.45</c:v>
                </c:pt>
              </c:numCache>
            </c:numRef>
          </c:val>
          <c:extLst>
            <c:ext xmlns:c16="http://schemas.microsoft.com/office/drawing/2014/chart" uri="{C3380CC4-5D6E-409C-BE32-E72D297353CC}">
              <c16:uniqueId val="{00000010-C232-4194-ACD8-DAE16793F50E}"/>
            </c:ext>
          </c:extLst>
        </c:ser>
        <c:dLbls>
          <c:dLblPos val="inEnd"/>
          <c:showLegendKey val="0"/>
          <c:showVal val="1"/>
          <c:showCatName val="0"/>
          <c:showSerName val="0"/>
          <c:showPercent val="0"/>
          <c:showBubbleSize val="0"/>
        </c:dLbls>
        <c:gapWidth val="100"/>
        <c:overlap val="-24"/>
        <c:axId val="1675874944"/>
        <c:axId val="1675873984"/>
      </c:barChart>
      <c:catAx>
        <c:axId val="1675874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5873984"/>
        <c:crosses val="autoZero"/>
        <c:auto val="1"/>
        <c:lblAlgn val="ctr"/>
        <c:lblOffset val="100"/>
        <c:noMultiLvlLbl val="0"/>
      </c:catAx>
      <c:valAx>
        <c:axId val="1675873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587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[FRA_DASHBOARD.xlsx]Dupont dashboard_!PivotTable21</c:name>
    <c:fmtId val="2"/>
  </c:pivotSource>
  <c:chart>
    <c:autoTitleDeleted val="1"/>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271772712519314E-2"/>
          <c:y val="8.0357669282461228E-2"/>
          <c:w val="0.53260623399954155"/>
          <c:h val="0.91964233071753876"/>
        </c:manualLayout>
      </c:layout>
      <c:pie3DChart>
        <c:varyColors val="1"/>
        <c:ser>
          <c:idx val="0"/>
          <c:order val="0"/>
          <c:tx>
            <c:strRef>
              <c:f>'Dupont dashboard_'!$B$3</c:f>
              <c:strCache>
                <c:ptCount val="1"/>
                <c:pt idx="0">
                  <c:v>Sum of 2024</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dashboard_'!$B$4:$B$10</c:f>
              <c:numCache>
                <c:formatCode>General</c:formatCode>
                <c:ptCount val="6"/>
                <c:pt idx="0">
                  <c:v>0.87</c:v>
                </c:pt>
                <c:pt idx="1">
                  <c:v>0.03</c:v>
                </c:pt>
                <c:pt idx="2">
                  <c:v>0.87</c:v>
                </c:pt>
                <c:pt idx="3">
                  <c:v>0.74</c:v>
                </c:pt>
                <c:pt idx="4">
                  <c:v>0.01</c:v>
                </c:pt>
                <c:pt idx="5">
                  <c:v>0.57999999999999996</c:v>
                </c:pt>
              </c:numCache>
            </c:numRef>
          </c:val>
          <c:extLst>
            <c:ext xmlns:c16="http://schemas.microsoft.com/office/drawing/2014/chart" uri="{C3380CC4-5D6E-409C-BE32-E72D297353CC}">
              <c16:uniqueId val="{00000000-A508-401C-AC77-463CEA28F34B}"/>
            </c:ext>
          </c:extLst>
        </c:ser>
        <c:ser>
          <c:idx val="1"/>
          <c:order val="1"/>
          <c:tx>
            <c:strRef>
              <c:f>'Dupont dashboard_'!$C$3</c:f>
              <c:strCache>
                <c:ptCount val="1"/>
                <c:pt idx="0">
                  <c:v>Sum of 2023</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dashboard_'!$C$4:$C$10</c:f>
              <c:numCache>
                <c:formatCode>General</c:formatCode>
                <c:ptCount val="6"/>
                <c:pt idx="0">
                  <c:v>1.04</c:v>
                </c:pt>
                <c:pt idx="1">
                  <c:v>-0.18</c:v>
                </c:pt>
                <c:pt idx="2">
                  <c:v>1</c:v>
                </c:pt>
                <c:pt idx="3">
                  <c:v>1.05</c:v>
                </c:pt>
                <c:pt idx="4">
                  <c:v>-0.09</c:v>
                </c:pt>
                <c:pt idx="5">
                  <c:v>0.45</c:v>
                </c:pt>
              </c:numCache>
            </c:numRef>
          </c:val>
          <c:extLst>
            <c:ext xmlns:c16="http://schemas.microsoft.com/office/drawing/2014/chart" uri="{C3380CC4-5D6E-409C-BE32-E72D297353CC}">
              <c16:uniqueId val="{00000001-A508-401C-AC77-463CEA28F34B}"/>
            </c:ext>
          </c:extLst>
        </c:ser>
        <c:ser>
          <c:idx val="2"/>
          <c:order val="2"/>
          <c:tx>
            <c:strRef>
              <c:f>'Dupont dashboard_'!$D$3</c:f>
              <c:strCache>
                <c:ptCount val="1"/>
                <c:pt idx="0">
                  <c:v>Sum of 2022</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dashboard_'!$D$4:$D$10</c:f>
              <c:numCache>
                <c:formatCode>General</c:formatCode>
                <c:ptCount val="6"/>
                <c:pt idx="0">
                  <c:v>1.04</c:v>
                </c:pt>
                <c:pt idx="1">
                  <c:v>-0.57999999999999996</c:v>
                </c:pt>
                <c:pt idx="2">
                  <c:v>1</c:v>
                </c:pt>
                <c:pt idx="3">
                  <c:v>1.02</c:v>
                </c:pt>
                <c:pt idx="4">
                  <c:v>-0.23</c:v>
                </c:pt>
                <c:pt idx="5">
                  <c:v>0.37</c:v>
                </c:pt>
              </c:numCache>
            </c:numRef>
          </c:val>
          <c:extLst>
            <c:ext xmlns:c16="http://schemas.microsoft.com/office/drawing/2014/chart" uri="{C3380CC4-5D6E-409C-BE32-E72D297353CC}">
              <c16:uniqueId val="{00000002-A508-401C-AC77-463CEA28F34B}"/>
            </c:ext>
          </c:extLst>
        </c:ser>
        <c:ser>
          <c:idx val="3"/>
          <c:order val="3"/>
          <c:tx>
            <c:strRef>
              <c:f>'Dupont dashboard_'!$E$3</c:f>
              <c:strCache>
                <c:ptCount val="1"/>
                <c:pt idx="0">
                  <c:v>Sum of 2021</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dashboard_'!$E$4:$E$10</c:f>
              <c:numCache>
                <c:formatCode>General</c:formatCode>
                <c:ptCount val="6"/>
                <c:pt idx="0">
                  <c:v>1.08</c:v>
                </c:pt>
                <c:pt idx="1">
                  <c:v>-0.18</c:v>
                </c:pt>
                <c:pt idx="2">
                  <c:v>1.05</c:v>
                </c:pt>
                <c:pt idx="3">
                  <c:v>1.07</c:v>
                </c:pt>
                <c:pt idx="4">
                  <c:v>-0.11</c:v>
                </c:pt>
                <c:pt idx="5">
                  <c:v>0.51</c:v>
                </c:pt>
              </c:numCache>
            </c:numRef>
          </c:val>
          <c:extLst>
            <c:ext xmlns:c16="http://schemas.microsoft.com/office/drawing/2014/chart" uri="{C3380CC4-5D6E-409C-BE32-E72D297353CC}">
              <c16:uniqueId val="{00000003-A508-401C-AC77-463CEA28F34B}"/>
            </c:ext>
          </c:extLst>
        </c:ser>
        <c:ser>
          <c:idx val="4"/>
          <c:order val="4"/>
          <c:tx>
            <c:strRef>
              <c:f>'Dupont dashboard_'!$F$3</c:f>
              <c:strCache>
                <c:ptCount val="1"/>
                <c:pt idx="0">
                  <c:v>Sum of 2020</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dashboard_'!$F$4:$F$10</c:f>
              <c:numCache>
                <c:formatCode>General</c:formatCode>
                <c:ptCount val="6"/>
                <c:pt idx="0">
                  <c:v>1.1299999999999999</c:v>
                </c:pt>
                <c:pt idx="1">
                  <c:v>-0.46</c:v>
                </c:pt>
                <c:pt idx="2">
                  <c:v>1.03</c:v>
                </c:pt>
                <c:pt idx="3">
                  <c:v>1.03</c:v>
                </c:pt>
                <c:pt idx="4">
                  <c:v>-0.43</c:v>
                </c:pt>
                <c:pt idx="5">
                  <c:v>0.78</c:v>
                </c:pt>
              </c:numCache>
            </c:numRef>
          </c:val>
          <c:extLst>
            <c:ext xmlns:c16="http://schemas.microsoft.com/office/drawing/2014/chart" uri="{C3380CC4-5D6E-409C-BE32-E72D297353CC}">
              <c16:uniqueId val="{00000004-A508-401C-AC77-463CEA28F34B}"/>
            </c:ext>
          </c:extLst>
        </c:ser>
        <c:ser>
          <c:idx val="5"/>
          <c:order val="5"/>
          <c:tx>
            <c:strRef>
              <c:f>'Dupont dashboard_'!$G$3</c:f>
              <c:strCache>
                <c:ptCount val="1"/>
                <c:pt idx="0">
                  <c:v>Sum of 2019</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dashboard_'!$G$4:$G$10</c:f>
              <c:numCache>
                <c:formatCode>General</c:formatCode>
                <c:ptCount val="6"/>
                <c:pt idx="0">
                  <c:v>1.2</c:v>
                </c:pt>
                <c:pt idx="1">
                  <c:v>-0.74</c:v>
                </c:pt>
                <c:pt idx="2">
                  <c:v>1.02</c:v>
                </c:pt>
                <c:pt idx="3">
                  <c:v>1.02</c:v>
                </c:pt>
                <c:pt idx="4">
                  <c:v>-0.78</c:v>
                </c:pt>
                <c:pt idx="5">
                  <c:v>0.84</c:v>
                </c:pt>
              </c:numCache>
            </c:numRef>
          </c:val>
          <c:extLst>
            <c:ext xmlns:c16="http://schemas.microsoft.com/office/drawing/2014/chart" uri="{C3380CC4-5D6E-409C-BE32-E72D297353CC}">
              <c16:uniqueId val="{00000005-A508-401C-AC77-463CEA28F34B}"/>
            </c:ext>
          </c:extLst>
        </c:ser>
        <c:ser>
          <c:idx val="6"/>
          <c:order val="6"/>
          <c:tx>
            <c:strRef>
              <c:f>'Dupont dashboard_'!$H$3</c:f>
              <c:strCache>
                <c:ptCount val="1"/>
                <c:pt idx="0">
                  <c:v>Sum of 2018</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dashboard_'!$H$4:$H$10</c:f>
              <c:numCache>
                <c:formatCode>General</c:formatCode>
                <c:ptCount val="6"/>
                <c:pt idx="0">
                  <c:v>1.01</c:v>
                </c:pt>
                <c:pt idx="1">
                  <c:v>-0.17</c:v>
                </c:pt>
                <c:pt idx="2">
                  <c:v>1.45</c:v>
                </c:pt>
                <c:pt idx="3">
                  <c:v>1</c:v>
                </c:pt>
                <c:pt idx="4">
                  <c:v>-0.1</c:v>
                </c:pt>
                <c:pt idx="5">
                  <c:v>0.42</c:v>
                </c:pt>
              </c:numCache>
            </c:numRef>
          </c:val>
          <c:extLst>
            <c:ext xmlns:c16="http://schemas.microsoft.com/office/drawing/2014/chart" uri="{C3380CC4-5D6E-409C-BE32-E72D297353CC}">
              <c16:uniqueId val="{00000006-A508-401C-AC77-463CEA28F34B}"/>
            </c:ext>
          </c:extLst>
        </c:ser>
        <c:ser>
          <c:idx val="7"/>
          <c:order val="7"/>
          <c:tx>
            <c:strRef>
              <c:f>'Dupont dashboard_'!$I$3</c:f>
              <c:strCache>
                <c:ptCount val="1"/>
                <c:pt idx="0">
                  <c:v>Sum of 2015</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dashboard_'!$I$4:$I$10</c:f>
              <c:numCache>
                <c:formatCode>General</c:formatCode>
                <c:ptCount val="6"/>
                <c:pt idx="0">
                  <c:v>1.03</c:v>
                </c:pt>
                <c:pt idx="1">
                  <c:v>-0.82</c:v>
                </c:pt>
                <c:pt idx="2">
                  <c:v>1</c:v>
                </c:pt>
                <c:pt idx="3">
                  <c:v>1</c:v>
                </c:pt>
                <c:pt idx="4">
                  <c:v>-0.66</c:v>
                </c:pt>
                <c:pt idx="5">
                  <c:v>0.78</c:v>
                </c:pt>
              </c:numCache>
            </c:numRef>
          </c:val>
          <c:extLst>
            <c:ext xmlns:c16="http://schemas.microsoft.com/office/drawing/2014/chart" uri="{C3380CC4-5D6E-409C-BE32-E72D297353CC}">
              <c16:uniqueId val="{00000007-A508-401C-AC77-463CEA28F34B}"/>
            </c:ext>
          </c:extLst>
        </c:ser>
        <c:ser>
          <c:idx val="8"/>
          <c:order val="8"/>
          <c:tx>
            <c:strRef>
              <c:f>'Dupont dashboard_'!$J$3</c:f>
              <c:strCache>
                <c:ptCount val="1"/>
                <c:pt idx="0">
                  <c:v>Sum of 2016</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'Dupont dashboard_'!$A$4:$A$10</c:f>
              <c:strCache>
                <c:ptCount val="6"/>
                <c:pt idx="0">
                  <c:v>Assets / Equity (X)</c:v>
                </c:pt>
                <c:pt idx="1">
                  <c:v>EBIT / Sales (X)</c:v>
                </c:pt>
                <c:pt idx="2">
                  <c:v>NP / PBT (X)</c:v>
                </c:pt>
                <c:pt idx="3">
                  <c:v>PBT / EBIT (X)</c:v>
                </c:pt>
                <c:pt idx="4">
                  <c:v>ROE (X)</c:v>
                </c:pt>
                <c:pt idx="5">
                  <c:v>Sales / Assets (X)</c:v>
                </c:pt>
              </c:strCache>
            </c:strRef>
          </c:cat>
          <c:val>
            <c:numRef>
              <c:f>'Dupont dashboard_'!$J$4:$J$10</c:f>
              <c:numCache>
                <c:formatCode>General</c:formatCode>
                <c:ptCount val="6"/>
                <c:pt idx="0">
                  <c:v>1.02</c:v>
                </c:pt>
                <c:pt idx="1">
                  <c:v>-1.4</c:v>
                </c:pt>
                <c:pt idx="2">
                  <c:v>1</c:v>
                </c:pt>
                <c:pt idx="3">
                  <c:v>1</c:v>
                </c:pt>
                <c:pt idx="4">
                  <c:v>-0.63</c:v>
                </c:pt>
                <c:pt idx="5">
                  <c:v>0.45</c:v>
                </c:pt>
              </c:numCache>
            </c:numRef>
          </c:val>
          <c:extLst>
            <c:ext xmlns:c16="http://schemas.microsoft.com/office/drawing/2014/chart" uri="{C3380CC4-5D6E-409C-BE32-E72D297353CC}">
              <c16:uniqueId val="{00000008-A508-401C-AC77-463CEA28F34B}"/>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[FRA_DASHBOARD.xlsx]solvency!PivotTable1</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SOLVENCY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s>
    <c:plotArea>
      <c:layout/>
      <c:pieChart>
        <c:varyColors val="1"/>
        <c:ser>
          <c:idx val="0"/>
          <c:order val="0"/>
          <c:tx>
            <c:strRef>
              <c:f>solvency!$B$3</c:f>
              <c:strCache>
                <c:ptCount val="1"/>
                <c:pt idx="0">
                  <c:v>Sum of Interest Cover Ratio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C3-4578-9EF8-1291B21262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C3-4578-9EF8-1291B21262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C3-4578-9EF8-1291B21262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C3-4578-9EF8-1291B21262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C3-4578-9EF8-1291B21262D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FC3-4578-9EF8-1291B21262D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FC3-4578-9EF8-1291B21262D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FC3-4578-9EF8-1291B21262D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FC3-4578-9EF8-1291B21262DE}"/>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solvency!$A$4:$A$13</c:f>
              <c:strCache>
                <c:ptCount val="9"/>
                <c:pt idx="0">
                  <c:v>2015</c:v>
                </c:pt>
                <c:pt idx="1">
                  <c:v>2016</c:v>
                </c:pt>
                <c:pt idx="2">
                  <c:v>2018</c:v>
                </c:pt>
                <c:pt idx="3">
                  <c:v>2019</c:v>
                </c:pt>
                <c:pt idx="4">
                  <c:v>2020</c:v>
                </c:pt>
                <c:pt idx="5">
                  <c:v>2021</c:v>
                </c:pt>
                <c:pt idx="6">
                  <c:v>2022</c:v>
                </c:pt>
                <c:pt idx="7">
                  <c:v>2023</c:v>
                </c:pt>
                <c:pt idx="8">
                  <c:v>2024</c:v>
                </c:pt>
              </c:strCache>
            </c:strRef>
          </c:cat>
          <c:val>
            <c:numRef>
              <c:f>solvency!$B$4:$B$13</c:f>
              <c:numCache>
                <c:formatCode>General</c:formatCode>
                <c:ptCount val="9"/>
                <c:pt idx="0">
                  <c:v>-6376</c:v>
                </c:pt>
                <c:pt idx="1">
                  <c:v>-12563.01</c:v>
                </c:pt>
                <c:pt idx="2">
                  <c:v>-706.27</c:v>
                </c:pt>
                <c:pt idx="3">
                  <c:v>-48.04</c:v>
                </c:pt>
                <c:pt idx="4">
                  <c:v>-29.42</c:v>
                </c:pt>
                <c:pt idx="5">
                  <c:v>-13.58</c:v>
                </c:pt>
                <c:pt idx="6">
                  <c:v>-59.57</c:v>
                </c:pt>
                <c:pt idx="7">
                  <c:v>-21.59</c:v>
                </c:pt>
                <c:pt idx="8">
                  <c:v>3.89</c:v>
                </c:pt>
              </c:numCache>
            </c:numRef>
          </c:val>
          <c:extLst>
            <c:ext xmlns:c16="http://schemas.microsoft.com/office/drawing/2014/chart" uri="{C3380CC4-5D6E-409C-BE32-E72D297353CC}">
              <c16:uniqueId val="{00000012-FFC3-4578-9EF8-1291B21262DE}"/>
            </c:ext>
          </c:extLst>
        </c:ser>
        <c:ser>
          <c:idx val="1"/>
          <c:order val="1"/>
          <c:tx>
            <c:strRef>
              <c:f>solvency!$C$3</c:f>
              <c:strCache>
                <c:ptCount val="1"/>
                <c:pt idx="0">
                  <c:v>Sum of Long Term Debt-Equity Ratio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4-FFC3-4578-9EF8-1291B21262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6-FFC3-4578-9EF8-1291B21262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8-FFC3-4578-9EF8-1291B21262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A-FFC3-4578-9EF8-1291B21262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C-FFC3-4578-9EF8-1291B21262D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E-FFC3-4578-9EF8-1291B21262D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0-FFC3-4578-9EF8-1291B21262D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2-FFC3-4578-9EF8-1291B21262D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4-FFC3-4578-9EF8-1291B21262DE}"/>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solvency!$A$4:$A$13</c:f>
              <c:strCache>
                <c:ptCount val="9"/>
                <c:pt idx="0">
                  <c:v>2015</c:v>
                </c:pt>
                <c:pt idx="1">
                  <c:v>2016</c:v>
                </c:pt>
                <c:pt idx="2">
                  <c:v>2018</c:v>
                </c:pt>
                <c:pt idx="3">
                  <c:v>2019</c:v>
                </c:pt>
                <c:pt idx="4">
                  <c:v>2020</c:v>
                </c:pt>
                <c:pt idx="5">
                  <c:v>2021</c:v>
                </c:pt>
                <c:pt idx="6">
                  <c:v>2022</c:v>
                </c:pt>
                <c:pt idx="7">
                  <c:v>2023</c:v>
                </c:pt>
                <c:pt idx="8">
                  <c:v>2024</c:v>
                </c:pt>
              </c:strCache>
            </c:strRef>
          </c:cat>
          <c:val>
            <c:numRef>
              <c:f>solvency!$C$4:$C$13</c:f>
              <c:numCache>
                <c:formatCode>General</c:formatCode>
                <c:ptCount val="9"/>
                <c:pt idx="0">
                  <c:v>0</c:v>
                </c:pt>
                <c:pt idx="1">
                  <c:v>0</c:v>
                </c:pt>
                <c:pt idx="2">
                  <c:v>0</c:v>
                </c:pt>
                <c:pt idx="3">
                  <c:v>0.13</c:v>
                </c:pt>
                <c:pt idx="4">
                  <c:v>0.09</c:v>
                </c:pt>
                <c:pt idx="5">
                  <c:v>0.06</c:v>
                </c:pt>
                <c:pt idx="6">
                  <c:v>0.03</c:v>
                </c:pt>
                <c:pt idx="7">
                  <c:v>0.03</c:v>
                </c:pt>
                <c:pt idx="8">
                  <c:v>0.04</c:v>
                </c:pt>
              </c:numCache>
            </c:numRef>
          </c:val>
          <c:extLst>
            <c:ext xmlns:c16="http://schemas.microsoft.com/office/drawing/2014/chart" uri="{C3380CC4-5D6E-409C-BE32-E72D297353CC}">
              <c16:uniqueId val="{00000025-FFC3-4578-9EF8-1291B21262DE}"/>
            </c:ext>
          </c:extLst>
        </c:ser>
        <c:ser>
          <c:idx val="2"/>
          <c:order val="2"/>
          <c:tx>
            <c:strRef>
              <c:f>solvency!$D$3</c:f>
              <c:strCache>
                <c:ptCount val="1"/>
                <c:pt idx="0">
                  <c:v>Sum of Debt-Equity Ratio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FFC3-4578-9EF8-1291B21262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9-FFC3-4578-9EF8-1291B21262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B-FFC3-4578-9EF8-1291B21262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D-FFC3-4578-9EF8-1291B21262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F-FFC3-4578-9EF8-1291B21262D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1-FFC3-4578-9EF8-1291B21262D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3-FFC3-4578-9EF8-1291B21262D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5-FFC3-4578-9EF8-1291B21262D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7-FFC3-4578-9EF8-1291B21262DE}"/>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solvency!$A$4:$A$13</c:f>
              <c:strCache>
                <c:ptCount val="9"/>
                <c:pt idx="0">
                  <c:v>2015</c:v>
                </c:pt>
                <c:pt idx="1">
                  <c:v>2016</c:v>
                </c:pt>
                <c:pt idx="2">
                  <c:v>2018</c:v>
                </c:pt>
                <c:pt idx="3">
                  <c:v>2019</c:v>
                </c:pt>
                <c:pt idx="4">
                  <c:v>2020</c:v>
                </c:pt>
                <c:pt idx="5">
                  <c:v>2021</c:v>
                </c:pt>
                <c:pt idx="6">
                  <c:v>2022</c:v>
                </c:pt>
                <c:pt idx="7">
                  <c:v>2023</c:v>
                </c:pt>
                <c:pt idx="8">
                  <c:v>2024</c:v>
                </c:pt>
              </c:strCache>
            </c:strRef>
          </c:cat>
          <c:val>
            <c:numRef>
              <c:f>solvency!$D$4:$D$13</c:f>
              <c:numCache>
                <c:formatCode>General</c:formatCode>
                <c:ptCount val="9"/>
                <c:pt idx="0">
                  <c:v>0</c:v>
                </c:pt>
                <c:pt idx="1">
                  <c:v>0</c:v>
                </c:pt>
                <c:pt idx="2">
                  <c:v>0</c:v>
                </c:pt>
                <c:pt idx="3">
                  <c:v>0.18</c:v>
                </c:pt>
                <c:pt idx="4">
                  <c:v>0.11</c:v>
                </c:pt>
                <c:pt idx="5">
                  <c:v>7.0000000000000007E-2</c:v>
                </c:pt>
                <c:pt idx="6">
                  <c:v>0.04</c:v>
                </c:pt>
                <c:pt idx="7">
                  <c:v>0.04</c:v>
                </c:pt>
                <c:pt idx="8">
                  <c:v>0.04</c:v>
                </c:pt>
              </c:numCache>
            </c:numRef>
          </c:val>
          <c:extLst>
            <c:ext xmlns:c16="http://schemas.microsoft.com/office/drawing/2014/chart" uri="{C3380CC4-5D6E-409C-BE32-E72D297353CC}">
              <c16:uniqueId val="{00000038-FFC3-4578-9EF8-1291B21262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a:glow rad="101600">
        <a:schemeClr val="accent2">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[FRA_DASHBOARD.xlsx]liquidity!PivotTable2</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LIQUIDITY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liquidity!$B$3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5BC-4AEB-B4B8-B93B74E4D17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5BC-4AEB-B4B8-B93B74E4D17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5BC-4AEB-B4B8-B93B74E4D17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5BC-4AEB-B4B8-B93B74E4D17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5BC-4AEB-B4B8-B93B74E4D17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5BC-4AEB-B4B8-B93B74E4D17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5BC-4AEB-B4B8-B93B74E4D17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5BC-4AEB-B4B8-B93B74E4D171}"/>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5BC-4AEB-B4B8-B93B74E4D171}"/>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liquidity!$A$4:$A$13</c:f>
              <c:strCache>
                <c:ptCount val="9"/>
                <c:pt idx="0">
                  <c:v>2015</c:v>
                </c:pt>
                <c:pt idx="1">
                  <c:v>2016</c:v>
                </c:pt>
                <c:pt idx="2">
                  <c:v>2018</c:v>
                </c:pt>
                <c:pt idx="3">
                  <c:v>2019</c:v>
                </c:pt>
                <c:pt idx="4">
                  <c:v>2020</c:v>
                </c:pt>
                <c:pt idx="5">
                  <c:v>2021</c:v>
                </c:pt>
                <c:pt idx="6">
                  <c:v>2022</c:v>
                </c:pt>
                <c:pt idx="7">
                  <c:v>2023</c:v>
                </c:pt>
                <c:pt idx="8">
                  <c:v>2024</c:v>
                </c:pt>
              </c:strCache>
            </c:strRef>
          </c:cat>
          <c:val>
            <c:numRef>
              <c:f>liquidity!$B$4:$B$13</c:f>
              <c:numCache>
                <c:formatCode>General</c:formatCode>
                <c:ptCount val="9"/>
                <c:pt idx="0">
                  <c:v>3.75</c:v>
                </c:pt>
                <c:pt idx="1">
                  <c:v>2.97</c:v>
                </c:pt>
                <c:pt idx="2">
                  <c:v>1.99</c:v>
                </c:pt>
                <c:pt idx="3">
                  <c:v>2.21</c:v>
                </c:pt>
                <c:pt idx="4">
                  <c:v>4.42</c:v>
                </c:pt>
                <c:pt idx="5">
                  <c:v>7.44</c:v>
                </c:pt>
                <c:pt idx="6">
                  <c:v>11.8</c:v>
                </c:pt>
                <c:pt idx="7">
                  <c:v>9.1199999999999992</c:v>
                </c:pt>
                <c:pt idx="8">
                  <c:v>6.37</c:v>
                </c:pt>
              </c:numCache>
            </c:numRef>
          </c:val>
          <c:extLst>
            <c:ext xmlns:c16="http://schemas.microsoft.com/office/drawing/2014/chart" uri="{C3380CC4-5D6E-409C-BE32-E72D297353CC}">
              <c16:uniqueId val="{00000012-15BC-4AEB-B4B8-B93B74E4D17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a:glow rad="101600">
        <a:schemeClr val="accent2">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[FRA_DASHBOARD.xlsx]Profitablility ratio!PivotTable4</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PROFITABLILITY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'Profitablility ratio'!$B$3</c:f>
              <c:strCache>
                <c:ptCount val="1"/>
                <c:pt idx="0">
                  <c:v>Sum of Total Asset Turnover Ratio</c:v>
                </c:pt>
              </c:strCache>
            </c:strRef>
          </c:tx>
          <c:spPr>
            <a:solidFill>
              <a:schemeClr val="accent1"/>
            </a:solidFill>
            <a:ln w="19050">
              <a:solidFill>
                <a:schemeClr val="lt1"/>
              </a:solidFill>
            </a:ln>
            <a:effectLst/>
          </c:spPr>
          <c:invertIfNegative val="0"/>
          <c:trendline>
            <c:spPr>
              <a:ln w="19050" cap="rnd">
                <a:solidFill>
                  <a:schemeClr val="accent1"/>
                </a:solidFill>
                <a:prstDash val="sysDot"/>
              </a:ln>
              <a:effectLst/>
            </c:spPr>
            <c:trendlineType val="linear"/>
            <c:dispRSqr val="0"/>
            <c:dispEq val="0"/>
          </c:trendline>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ratio'!$B$4:$B$13</c:f>
              <c:numCache>
                <c:formatCode>General</c:formatCode>
                <c:ptCount val="9"/>
                <c:pt idx="0">
                  <c:v>0.78</c:v>
                </c:pt>
                <c:pt idx="1">
                  <c:v>0.45</c:v>
                </c:pt>
                <c:pt idx="2">
                  <c:v>0.42</c:v>
                </c:pt>
                <c:pt idx="3">
                  <c:v>0.84</c:v>
                </c:pt>
                <c:pt idx="4">
                  <c:v>0.78</c:v>
                </c:pt>
                <c:pt idx="5">
                  <c:v>0.51</c:v>
                </c:pt>
                <c:pt idx="6">
                  <c:v>0.37</c:v>
                </c:pt>
                <c:pt idx="7">
                  <c:v>0.45</c:v>
                </c:pt>
                <c:pt idx="8">
                  <c:v>0.57999999999999996</c:v>
                </c:pt>
              </c:numCache>
            </c:numRef>
          </c:val>
          <c:extLst>
            <c:ext xmlns:c16="http://schemas.microsoft.com/office/drawing/2014/chart" uri="{C3380CC4-5D6E-409C-BE32-E72D297353CC}">
              <c16:uniqueId val="{00000000-951D-484E-9082-47511FCC2DF4}"/>
            </c:ext>
          </c:extLst>
        </c:ser>
        <c:ser>
          <c:idx val="1"/>
          <c:order val="1"/>
          <c:tx>
            <c:strRef>
              <c:f>'Profitablility ratio'!$C$3</c:f>
              <c:strCache>
                <c:ptCount val="1"/>
                <c:pt idx="0">
                  <c:v>Sum of RONW (%)</c:v>
                </c:pt>
              </c:strCache>
            </c:strRef>
          </c:tx>
          <c:spPr>
            <a:solidFill>
              <a:schemeClr val="accent2"/>
            </a:solidFill>
            <a:ln w="19050">
              <a:solidFill>
                <a:schemeClr val="lt1"/>
              </a:solidFill>
            </a:ln>
            <a:effectLst/>
          </c:spPr>
          <c:invertIfNegative val="0"/>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ratio'!$C$4:$C$13</c:f>
              <c:numCache>
                <c:formatCode>General</c:formatCode>
                <c:ptCount val="9"/>
                <c:pt idx="0">
                  <c:v>0</c:v>
                </c:pt>
                <c:pt idx="1">
                  <c:v>0</c:v>
                </c:pt>
                <c:pt idx="2">
                  <c:v>0</c:v>
                </c:pt>
                <c:pt idx="3">
                  <c:v>0</c:v>
                </c:pt>
                <c:pt idx="4">
                  <c:v>0</c:v>
                </c:pt>
                <c:pt idx="5">
                  <c:v>0</c:v>
                </c:pt>
                <c:pt idx="6">
                  <c:v>0</c:v>
                </c:pt>
                <c:pt idx="7">
                  <c:v>0</c:v>
                </c:pt>
                <c:pt idx="8">
                  <c:v>0.94</c:v>
                </c:pt>
              </c:numCache>
            </c:numRef>
          </c:val>
          <c:extLst>
            <c:ext xmlns:c16="http://schemas.microsoft.com/office/drawing/2014/chart" uri="{C3380CC4-5D6E-409C-BE32-E72D297353CC}">
              <c16:uniqueId val="{00000001-951D-484E-9082-47511FCC2DF4}"/>
            </c:ext>
          </c:extLst>
        </c:ser>
        <c:ser>
          <c:idx val="2"/>
          <c:order val="2"/>
          <c:tx>
            <c:strRef>
              <c:f>'Profitablility ratio'!$D$3</c:f>
              <c:strCache>
                <c:ptCount val="1"/>
                <c:pt idx="0">
                  <c:v>Sum of ROCE (%)</c:v>
                </c:pt>
              </c:strCache>
            </c:strRef>
          </c:tx>
          <c:spPr>
            <a:solidFill>
              <a:schemeClr val="accent3"/>
            </a:solidFill>
            <a:ln w="19050">
              <a:solidFill>
                <a:schemeClr val="lt1"/>
              </a:solidFill>
            </a:ln>
            <a:effectLst/>
          </c:spPr>
          <c:invertIfNegative val="0"/>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ratio'!$D$4:$D$13</c:f>
              <c:numCache>
                <c:formatCode>General</c:formatCode>
                <c:ptCount val="9"/>
                <c:pt idx="0">
                  <c:v>0</c:v>
                </c:pt>
                <c:pt idx="1">
                  <c:v>0</c:v>
                </c:pt>
                <c:pt idx="2">
                  <c:v>0</c:v>
                </c:pt>
                <c:pt idx="3">
                  <c:v>0</c:v>
                </c:pt>
                <c:pt idx="4">
                  <c:v>0</c:v>
                </c:pt>
                <c:pt idx="5">
                  <c:v>0</c:v>
                </c:pt>
                <c:pt idx="6">
                  <c:v>0</c:v>
                </c:pt>
                <c:pt idx="7">
                  <c:v>0</c:v>
                </c:pt>
                <c:pt idx="8">
                  <c:v>1.46</c:v>
                </c:pt>
              </c:numCache>
            </c:numRef>
          </c:val>
          <c:extLst>
            <c:ext xmlns:c16="http://schemas.microsoft.com/office/drawing/2014/chart" uri="{C3380CC4-5D6E-409C-BE32-E72D297353CC}">
              <c16:uniqueId val="{00000002-951D-484E-9082-47511FCC2DF4}"/>
            </c:ext>
          </c:extLst>
        </c:ser>
        <c:ser>
          <c:idx val="3"/>
          <c:order val="3"/>
          <c:tx>
            <c:strRef>
              <c:f>'Profitablility ratio'!$E$3</c:f>
              <c:strCache>
                <c:ptCount val="1"/>
                <c:pt idx="0">
                  <c:v>Sum of PBDTM (%)</c:v>
                </c:pt>
              </c:strCache>
            </c:strRef>
          </c:tx>
          <c:spPr>
            <a:solidFill>
              <a:schemeClr val="accent4"/>
            </a:solidFill>
            <a:ln w="19050">
              <a:solidFill>
                <a:schemeClr val="lt1"/>
              </a:solidFill>
            </a:ln>
            <a:effectLst/>
          </c:spPr>
          <c:invertIfNegative val="0"/>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ratio'!$E$4:$E$13</c:f>
              <c:numCache>
                <c:formatCode>General</c:formatCode>
                <c:ptCount val="9"/>
                <c:pt idx="0">
                  <c:v>-79.67</c:v>
                </c:pt>
                <c:pt idx="1">
                  <c:v>-135.81</c:v>
                </c:pt>
                <c:pt idx="2">
                  <c:v>-14.73</c:v>
                </c:pt>
                <c:pt idx="3">
                  <c:v>-69.34</c:v>
                </c:pt>
                <c:pt idx="4">
                  <c:v>-41.4</c:v>
                </c:pt>
                <c:pt idx="5">
                  <c:v>-14.51</c:v>
                </c:pt>
                <c:pt idx="6">
                  <c:v>-55.48</c:v>
                </c:pt>
                <c:pt idx="7">
                  <c:v>-16.579999999999998</c:v>
                </c:pt>
                <c:pt idx="8">
                  <c:v>4.82</c:v>
                </c:pt>
              </c:numCache>
            </c:numRef>
          </c:val>
          <c:extLst>
            <c:ext xmlns:c16="http://schemas.microsoft.com/office/drawing/2014/chart" uri="{C3380CC4-5D6E-409C-BE32-E72D297353CC}">
              <c16:uniqueId val="{00000003-951D-484E-9082-47511FCC2DF4}"/>
            </c:ext>
          </c:extLst>
        </c:ser>
        <c:ser>
          <c:idx val="4"/>
          <c:order val="4"/>
          <c:tx>
            <c:strRef>
              <c:f>'Profitablility ratio'!$F$3</c:f>
              <c:strCache>
                <c:ptCount val="1"/>
                <c:pt idx="0">
                  <c:v>Sum of PBITM (%)</c:v>
                </c:pt>
              </c:strCache>
            </c:strRef>
          </c:tx>
          <c:spPr>
            <a:solidFill>
              <a:schemeClr val="accent5"/>
            </a:solidFill>
            <a:ln w="19050">
              <a:solidFill>
                <a:schemeClr val="lt1"/>
              </a:solidFill>
            </a:ln>
            <a:effectLst/>
          </c:spPr>
          <c:invertIfNegative val="0"/>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ratio'!$F$4:$F$13</c:f>
              <c:numCache>
                <c:formatCode>General</c:formatCode>
                <c:ptCount val="9"/>
                <c:pt idx="0">
                  <c:v>-82.2</c:v>
                </c:pt>
                <c:pt idx="1">
                  <c:v>-139.53</c:v>
                </c:pt>
                <c:pt idx="2">
                  <c:v>-16.920000000000002</c:v>
                </c:pt>
                <c:pt idx="3">
                  <c:v>-73.98</c:v>
                </c:pt>
                <c:pt idx="4">
                  <c:v>-45.97</c:v>
                </c:pt>
                <c:pt idx="5">
                  <c:v>-17.87</c:v>
                </c:pt>
                <c:pt idx="6">
                  <c:v>-57.52</c:v>
                </c:pt>
                <c:pt idx="7">
                  <c:v>-18.23</c:v>
                </c:pt>
                <c:pt idx="8">
                  <c:v>3.02</c:v>
                </c:pt>
              </c:numCache>
            </c:numRef>
          </c:val>
          <c:extLst>
            <c:ext xmlns:c16="http://schemas.microsoft.com/office/drawing/2014/chart" uri="{C3380CC4-5D6E-409C-BE32-E72D297353CC}">
              <c16:uniqueId val="{00000004-951D-484E-9082-47511FCC2DF4}"/>
            </c:ext>
          </c:extLst>
        </c:ser>
        <c:ser>
          <c:idx val="5"/>
          <c:order val="5"/>
          <c:tx>
            <c:strRef>
              <c:f>'Profitablility ratio'!$G$3</c:f>
              <c:strCache>
                <c:ptCount val="1"/>
                <c:pt idx="0">
                  <c:v>Sum of PBIDTM (%)</c:v>
                </c:pt>
              </c:strCache>
            </c:strRef>
          </c:tx>
          <c:spPr>
            <a:solidFill>
              <a:schemeClr val="accent6"/>
            </a:solidFill>
            <a:ln w="19050">
              <a:solidFill>
                <a:schemeClr val="lt1"/>
              </a:solidFill>
            </a:ln>
            <a:effectLst/>
          </c:spPr>
          <c:invertIfNegative val="0"/>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ratio'!$G$4:$G$13</c:f>
              <c:numCache>
                <c:formatCode>General</c:formatCode>
                <c:ptCount val="9"/>
                <c:pt idx="0">
                  <c:v>-79.66</c:v>
                </c:pt>
                <c:pt idx="1">
                  <c:v>-135.80000000000001</c:v>
                </c:pt>
                <c:pt idx="2">
                  <c:v>-14.7</c:v>
                </c:pt>
                <c:pt idx="3">
                  <c:v>-67.8</c:v>
                </c:pt>
                <c:pt idx="4">
                  <c:v>-39.840000000000003</c:v>
                </c:pt>
                <c:pt idx="5">
                  <c:v>-13.2</c:v>
                </c:pt>
                <c:pt idx="6">
                  <c:v>-54.52</c:v>
                </c:pt>
                <c:pt idx="7">
                  <c:v>-15.74</c:v>
                </c:pt>
                <c:pt idx="8">
                  <c:v>5.6</c:v>
                </c:pt>
              </c:numCache>
            </c:numRef>
          </c:val>
          <c:extLst>
            <c:ext xmlns:c16="http://schemas.microsoft.com/office/drawing/2014/chart" uri="{C3380CC4-5D6E-409C-BE32-E72D297353CC}">
              <c16:uniqueId val="{00000005-951D-484E-9082-47511FCC2DF4}"/>
            </c:ext>
          </c:extLst>
        </c:ser>
        <c:dLbls>
          <c:dLblPos val="outEnd"/>
          <c:showLegendKey val="0"/>
          <c:showVal val="0"/>
          <c:showCatName val="0"/>
          <c:showSerName val="0"/>
          <c:showPercent val="0"/>
          <c:showBubbleSize val="0"/>
        </c:dLbls>
        <c:gapWidth val="150"/>
        <c:axId val="1539477472"/>
        <c:axId val="1539479392"/>
      </c:barChart>
      <c:catAx>
        <c:axId val="1539477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9479392"/>
        <c:crosses val="autoZero"/>
        <c:auto val="1"/>
        <c:lblAlgn val="ctr"/>
        <c:lblOffset val="100"/>
        <c:noMultiLvlLbl val="0"/>
      </c:catAx>
      <c:valAx>
        <c:axId val="153947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947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a:glow rad="101600">
        <a:schemeClr val="accent2">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[FRA_DASHBOARD.xlsx]effiency!PivotTable3</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EFFIENCY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effiency!$B$3</c:f>
              <c:strCache>
                <c:ptCount val="1"/>
                <c:pt idx="0">
                  <c:v>Sum of Debtors Turnover Ratio</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effiency!$A$4:$A$13</c:f>
              <c:strCache>
                <c:ptCount val="9"/>
                <c:pt idx="0">
                  <c:v>2015</c:v>
                </c:pt>
                <c:pt idx="1">
                  <c:v>2016</c:v>
                </c:pt>
                <c:pt idx="2">
                  <c:v>2018</c:v>
                </c:pt>
                <c:pt idx="3">
                  <c:v>2019</c:v>
                </c:pt>
                <c:pt idx="4">
                  <c:v>2020</c:v>
                </c:pt>
                <c:pt idx="5">
                  <c:v>2021</c:v>
                </c:pt>
                <c:pt idx="6">
                  <c:v>2022</c:v>
                </c:pt>
                <c:pt idx="7">
                  <c:v>2023</c:v>
                </c:pt>
                <c:pt idx="8">
                  <c:v>2024</c:v>
                </c:pt>
              </c:strCache>
            </c:strRef>
          </c:cat>
          <c:val>
            <c:numRef>
              <c:f>effiency!$B$4:$B$13</c:f>
              <c:numCache>
                <c:formatCode>General</c:formatCode>
                <c:ptCount val="9"/>
                <c:pt idx="0">
                  <c:v>3.04</c:v>
                </c:pt>
                <c:pt idx="1">
                  <c:v>2.82</c:v>
                </c:pt>
                <c:pt idx="2">
                  <c:v>3.48</c:v>
                </c:pt>
                <c:pt idx="3">
                  <c:v>3.75</c:v>
                </c:pt>
                <c:pt idx="4">
                  <c:v>4.9800000000000004</c:v>
                </c:pt>
                <c:pt idx="5">
                  <c:v>5.04</c:v>
                </c:pt>
                <c:pt idx="6">
                  <c:v>5.34</c:v>
                </c:pt>
                <c:pt idx="7">
                  <c:v>4.93</c:v>
                </c:pt>
                <c:pt idx="8">
                  <c:v>5.18</c:v>
                </c:pt>
              </c:numCache>
            </c:numRef>
          </c:val>
          <c:extLst>
            <c:ext xmlns:c16="http://schemas.microsoft.com/office/drawing/2014/chart" uri="{C3380CC4-5D6E-409C-BE32-E72D297353CC}">
              <c16:uniqueId val="{00000000-3092-408F-91AD-F656C75DB8F7}"/>
            </c:ext>
          </c:extLst>
        </c:ser>
        <c:ser>
          <c:idx val="1"/>
          <c:order val="1"/>
          <c:tx>
            <c:strRef>
              <c:f>effiency!$C$3</c:f>
              <c:strCache>
                <c:ptCount val="1"/>
                <c:pt idx="0">
                  <c:v>Sum of Inventory Turnover Ratio</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effiency!$A$4:$A$13</c:f>
              <c:strCache>
                <c:ptCount val="9"/>
                <c:pt idx="0">
                  <c:v>2015</c:v>
                </c:pt>
                <c:pt idx="1">
                  <c:v>2016</c:v>
                </c:pt>
                <c:pt idx="2">
                  <c:v>2018</c:v>
                </c:pt>
                <c:pt idx="3">
                  <c:v>2019</c:v>
                </c:pt>
                <c:pt idx="4">
                  <c:v>2020</c:v>
                </c:pt>
                <c:pt idx="5">
                  <c:v>2021</c:v>
                </c:pt>
                <c:pt idx="6">
                  <c:v>2022</c:v>
                </c:pt>
                <c:pt idx="7">
                  <c:v>2023</c:v>
                </c:pt>
                <c:pt idx="8">
                  <c:v>2024</c:v>
                </c:pt>
              </c:strCache>
            </c:strRef>
          </c:cat>
          <c:val>
            <c:numRef>
              <c:f>effiency!$C$4:$C$13</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3092-408F-91AD-F656C75DB8F7}"/>
            </c:ext>
          </c:extLst>
        </c:ser>
        <c:ser>
          <c:idx val="2"/>
          <c:order val="2"/>
          <c:tx>
            <c:strRef>
              <c:f>effiency!$D$3</c:f>
              <c:strCache>
                <c:ptCount val="1"/>
                <c:pt idx="0">
                  <c:v>Sum of Fixed Assets Turnover Ratio</c:v>
                </c:pt>
              </c:strCache>
            </c:strRef>
          </c:tx>
          <c:spPr>
            <a:solidFill>
              <a:schemeClr val="accent3"/>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effiency!$A$4:$A$13</c:f>
              <c:strCache>
                <c:ptCount val="9"/>
                <c:pt idx="0">
                  <c:v>2015</c:v>
                </c:pt>
                <c:pt idx="1">
                  <c:v>2016</c:v>
                </c:pt>
                <c:pt idx="2">
                  <c:v>2018</c:v>
                </c:pt>
                <c:pt idx="3">
                  <c:v>2019</c:v>
                </c:pt>
                <c:pt idx="4">
                  <c:v>2020</c:v>
                </c:pt>
                <c:pt idx="5">
                  <c:v>2021</c:v>
                </c:pt>
                <c:pt idx="6">
                  <c:v>2022</c:v>
                </c:pt>
                <c:pt idx="7">
                  <c:v>2023</c:v>
                </c:pt>
                <c:pt idx="8">
                  <c:v>2024</c:v>
                </c:pt>
              </c:strCache>
            </c:strRef>
          </c:cat>
          <c:val>
            <c:numRef>
              <c:f>effiency!$D$4:$D$13</c:f>
              <c:numCache>
                <c:formatCode>General</c:formatCode>
                <c:ptCount val="9"/>
                <c:pt idx="0">
                  <c:v>7.52</c:v>
                </c:pt>
                <c:pt idx="1">
                  <c:v>6.83</c:v>
                </c:pt>
                <c:pt idx="2">
                  <c:v>15.58</c:v>
                </c:pt>
                <c:pt idx="3">
                  <c:v>3.16</c:v>
                </c:pt>
                <c:pt idx="4">
                  <c:v>4.26</c:v>
                </c:pt>
                <c:pt idx="5">
                  <c:v>4.24</c:v>
                </c:pt>
                <c:pt idx="6">
                  <c:v>5.35</c:v>
                </c:pt>
                <c:pt idx="7">
                  <c:v>6.44</c:v>
                </c:pt>
                <c:pt idx="8">
                  <c:v>6.49</c:v>
                </c:pt>
              </c:numCache>
            </c:numRef>
          </c:val>
          <c:extLst>
            <c:ext xmlns:c16="http://schemas.microsoft.com/office/drawing/2014/chart" uri="{C3380CC4-5D6E-409C-BE32-E72D297353CC}">
              <c16:uniqueId val="{00000002-3092-408F-91AD-F656C75DB8F7}"/>
            </c:ext>
          </c:extLst>
        </c:ser>
        <c:dLbls>
          <c:dLblPos val="outEnd"/>
          <c:showLegendKey val="0"/>
          <c:showVal val="1"/>
          <c:showCatName val="0"/>
          <c:showSerName val="0"/>
          <c:showPercent val="0"/>
          <c:showBubbleSize val="0"/>
        </c:dLbls>
        <c:gapWidth val="150"/>
        <c:axId val="687726160"/>
        <c:axId val="687715600"/>
      </c:barChart>
      <c:catAx>
        <c:axId val="687726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7715600"/>
        <c:crosses val="autoZero"/>
        <c:auto val="1"/>
        <c:lblAlgn val="ctr"/>
        <c:lblOffset val="100"/>
        <c:noMultiLvlLbl val="0"/>
      </c:catAx>
      <c:valAx>
        <c:axId val="68771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772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a:glow rad="101600">
        <a:schemeClr val="accent2">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[FRA_DASHBOARD.xlsx]solvency!PivotTable1</c:name>
    <c:fmtId val="0"/>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solvency!$B$3</c:f>
              <c:strCache>
                <c:ptCount val="1"/>
                <c:pt idx="0">
                  <c:v>Sum of Interest Cover Ratio</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6"/>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7"/>
            <c:bubble3D val="0"/>
            <c:spPr>
              <a:gradFill rotWithShape="1">
                <a:gsLst>
                  <a:gs pos="0">
                    <a:schemeClr val="accent2">
                      <a:lumMod val="60000"/>
                      <a:tint val="96000"/>
                      <a:lumMod val="100000"/>
                    </a:schemeClr>
                  </a:gs>
                  <a:gs pos="78000">
                    <a:schemeClr val="accent2">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8"/>
            <c:bubble3D val="0"/>
            <c:spPr>
              <a:gradFill rotWithShape="1">
                <a:gsLst>
                  <a:gs pos="0">
                    <a:schemeClr val="accent3">
                      <a:lumMod val="60000"/>
                      <a:tint val="96000"/>
                      <a:lumMod val="100000"/>
                    </a:schemeClr>
                  </a:gs>
                  <a:gs pos="78000">
                    <a:schemeClr val="accent3">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solvency!$A$4:$A$13</c:f>
              <c:strCache>
                <c:ptCount val="9"/>
                <c:pt idx="0">
                  <c:v>2015</c:v>
                </c:pt>
                <c:pt idx="1">
                  <c:v>2016</c:v>
                </c:pt>
                <c:pt idx="2">
                  <c:v>2018</c:v>
                </c:pt>
                <c:pt idx="3">
                  <c:v>2019</c:v>
                </c:pt>
                <c:pt idx="4">
                  <c:v>2020</c:v>
                </c:pt>
                <c:pt idx="5">
                  <c:v>2021</c:v>
                </c:pt>
                <c:pt idx="6">
                  <c:v>2022</c:v>
                </c:pt>
                <c:pt idx="7">
                  <c:v>2023</c:v>
                </c:pt>
                <c:pt idx="8">
                  <c:v>2024</c:v>
                </c:pt>
              </c:strCache>
            </c:strRef>
          </c:cat>
          <c:val>
            <c:numRef>
              <c:f>solvency!$B$4:$B$13</c:f>
              <c:numCache>
                <c:formatCode>General</c:formatCode>
                <c:ptCount val="9"/>
                <c:pt idx="0">
                  <c:v>-6376</c:v>
                </c:pt>
                <c:pt idx="1">
                  <c:v>-12563.01</c:v>
                </c:pt>
                <c:pt idx="2">
                  <c:v>-706.27</c:v>
                </c:pt>
                <c:pt idx="3">
                  <c:v>-48.04</c:v>
                </c:pt>
                <c:pt idx="4">
                  <c:v>-29.42</c:v>
                </c:pt>
                <c:pt idx="5">
                  <c:v>-13.58</c:v>
                </c:pt>
                <c:pt idx="6">
                  <c:v>-59.57</c:v>
                </c:pt>
                <c:pt idx="7">
                  <c:v>-21.59</c:v>
                </c:pt>
                <c:pt idx="8">
                  <c:v>3.89</c:v>
                </c:pt>
              </c:numCache>
            </c:numRef>
          </c:val>
          <c:extLst>
            <c:ext xmlns:c16="http://schemas.microsoft.com/office/drawing/2014/chart" uri="{C3380CC4-5D6E-409C-BE32-E72D297353CC}">
              <c16:uniqueId val="{00000000-9DE4-479C-99F6-B7C71ABD401D}"/>
            </c:ext>
          </c:extLst>
        </c:ser>
        <c:ser>
          <c:idx val="1"/>
          <c:order val="1"/>
          <c:tx>
            <c:strRef>
              <c:f>solvency!$C$3</c:f>
              <c:strCache>
                <c:ptCount val="1"/>
                <c:pt idx="0">
                  <c:v>Sum of Long Term Debt-Equity Ratio</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6"/>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7"/>
            <c:bubble3D val="0"/>
            <c:spPr>
              <a:gradFill rotWithShape="1">
                <a:gsLst>
                  <a:gs pos="0">
                    <a:schemeClr val="accent2">
                      <a:lumMod val="60000"/>
                      <a:tint val="96000"/>
                      <a:lumMod val="100000"/>
                    </a:schemeClr>
                  </a:gs>
                  <a:gs pos="78000">
                    <a:schemeClr val="accent2">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8"/>
            <c:bubble3D val="0"/>
            <c:spPr>
              <a:gradFill rotWithShape="1">
                <a:gsLst>
                  <a:gs pos="0">
                    <a:schemeClr val="accent3">
                      <a:lumMod val="60000"/>
                      <a:tint val="96000"/>
                      <a:lumMod val="100000"/>
                    </a:schemeClr>
                  </a:gs>
                  <a:gs pos="78000">
                    <a:schemeClr val="accent3">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solvency!$A$4:$A$13</c:f>
              <c:strCache>
                <c:ptCount val="9"/>
                <c:pt idx="0">
                  <c:v>2015</c:v>
                </c:pt>
                <c:pt idx="1">
                  <c:v>2016</c:v>
                </c:pt>
                <c:pt idx="2">
                  <c:v>2018</c:v>
                </c:pt>
                <c:pt idx="3">
                  <c:v>2019</c:v>
                </c:pt>
                <c:pt idx="4">
                  <c:v>2020</c:v>
                </c:pt>
                <c:pt idx="5">
                  <c:v>2021</c:v>
                </c:pt>
                <c:pt idx="6">
                  <c:v>2022</c:v>
                </c:pt>
                <c:pt idx="7">
                  <c:v>2023</c:v>
                </c:pt>
                <c:pt idx="8">
                  <c:v>2024</c:v>
                </c:pt>
              </c:strCache>
            </c:strRef>
          </c:cat>
          <c:val>
            <c:numRef>
              <c:f>solvency!$C$4:$C$13</c:f>
              <c:numCache>
                <c:formatCode>General</c:formatCode>
                <c:ptCount val="9"/>
                <c:pt idx="0">
                  <c:v>0</c:v>
                </c:pt>
                <c:pt idx="1">
                  <c:v>0</c:v>
                </c:pt>
                <c:pt idx="2">
                  <c:v>0</c:v>
                </c:pt>
                <c:pt idx="3">
                  <c:v>0.13</c:v>
                </c:pt>
                <c:pt idx="4">
                  <c:v>0.09</c:v>
                </c:pt>
                <c:pt idx="5">
                  <c:v>0.06</c:v>
                </c:pt>
                <c:pt idx="6">
                  <c:v>0.03</c:v>
                </c:pt>
                <c:pt idx="7">
                  <c:v>0.03</c:v>
                </c:pt>
                <c:pt idx="8">
                  <c:v>0.04</c:v>
                </c:pt>
              </c:numCache>
            </c:numRef>
          </c:val>
          <c:extLst>
            <c:ext xmlns:c16="http://schemas.microsoft.com/office/drawing/2014/chart" uri="{C3380CC4-5D6E-409C-BE32-E72D297353CC}">
              <c16:uniqueId val="{00000001-9DE4-479C-99F6-B7C71ABD401D}"/>
            </c:ext>
          </c:extLst>
        </c:ser>
        <c:ser>
          <c:idx val="2"/>
          <c:order val="2"/>
          <c:tx>
            <c:strRef>
              <c:f>solvency!$D$3</c:f>
              <c:strCache>
                <c:ptCount val="1"/>
                <c:pt idx="0">
                  <c:v>Sum of Debt-Equity Ratio</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6"/>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7"/>
            <c:bubble3D val="0"/>
            <c:spPr>
              <a:gradFill rotWithShape="1">
                <a:gsLst>
                  <a:gs pos="0">
                    <a:schemeClr val="accent2">
                      <a:lumMod val="60000"/>
                      <a:tint val="96000"/>
                      <a:lumMod val="100000"/>
                    </a:schemeClr>
                  </a:gs>
                  <a:gs pos="78000">
                    <a:schemeClr val="accent2">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8"/>
            <c:bubble3D val="0"/>
            <c:spPr>
              <a:gradFill rotWithShape="1">
                <a:gsLst>
                  <a:gs pos="0">
                    <a:schemeClr val="accent3">
                      <a:lumMod val="60000"/>
                      <a:tint val="96000"/>
                      <a:lumMod val="100000"/>
                    </a:schemeClr>
                  </a:gs>
                  <a:gs pos="78000">
                    <a:schemeClr val="accent3">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solvency!$A$4:$A$13</c:f>
              <c:strCache>
                <c:ptCount val="9"/>
                <c:pt idx="0">
                  <c:v>2015</c:v>
                </c:pt>
                <c:pt idx="1">
                  <c:v>2016</c:v>
                </c:pt>
                <c:pt idx="2">
                  <c:v>2018</c:v>
                </c:pt>
                <c:pt idx="3">
                  <c:v>2019</c:v>
                </c:pt>
                <c:pt idx="4">
                  <c:v>2020</c:v>
                </c:pt>
                <c:pt idx="5">
                  <c:v>2021</c:v>
                </c:pt>
                <c:pt idx="6">
                  <c:v>2022</c:v>
                </c:pt>
                <c:pt idx="7">
                  <c:v>2023</c:v>
                </c:pt>
                <c:pt idx="8">
                  <c:v>2024</c:v>
                </c:pt>
              </c:strCache>
            </c:strRef>
          </c:cat>
          <c:val>
            <c:numRef>
              <c:f>solvency!$D$4:$D$13</c:f>
              <c:numCache>
                <c:formatCode>General</c:formatCode>
                <c:ptCount val="9"/>
                <c:pt idx="0">
                  <c:v>0</c:v>
                </c:pt>
                <c:pt idx="1">
                  <c:v>0</c:v>
                </c:pt>
                <c:pt idx="2">
                  <c:v>0</c:v>
                </c:pt>
                <c:pt idx="3">
                  <c:v>0.18</c:v>
                </c:pt>
                <c:pt idx="4">
                  <c:v>0.11</c:v>
                </c:pt>
                <c:pt idx="5">
                  <c:v>7.0000000000000007E-2</c:v>
                </c:pt>
                <c:pt idx="6">
                  <c:v>0.04</c:v>
                </c:pt>
                <c:pt idx="7">
                  <c:v>0.04</c:v>
                </c:pt>
                <c:pt idx="8">
                  <c:v>0.04</c:v>
                </c:pt>
              </c:numCache>
            </c:numRef>
          </c:val>
          <c:extLst>
            <c:ext xmlns:c16="http://schemas.microsoft.com/office/drawing/2014/chart" uri="{C3380CC4-5D6E-409C-BE32-E72D297353CC}">
              <c16:uniqueId val="{00000002-9DE4-479C-99F6-B7C71ABD40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[FRA_DASHBOARD.xlsx]liquidity!PivotTable2</c:name>
    <c:fmtId val="0"/>
  </c:pivotSource>
  <c:chart>
    <c:autoTitleDeleted val="1"/>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liquidity!$B$3</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liquidity!$A$4:$A$13</c:f>
              <c:strCache>
                <c:ptCount val="9"/>
                <c:pt idx="0">
                  <c:v>2015</c:v>
                </c:pt>
                <c:pt idx="1">
                  <c:v>2016</c:v>
                </c:pt>
                <c:pt idx="2">
                  <c:v>2018</c:v>
                </c:pt>
                <c:pt idx="3">
                  <c:v>2019</c:v>
                </c:pt>
                <c:pt idx="4">
                  <c:v>2020</c:v>
                </c:pt>
                <c:pt idx="5">
                  <c:v>2021</c:v>
                </c:pt>
                <c:pt idx="6">
                  <c:v>2022</c:v>
                </c:pt>
                <c:pt idx="7">
                  <c:v>2023</c:v>
                </c:pt>
                <c:pt idx="8">
                  <c:v>2024</c:v>
                </c:pt>
              </c:strCache>
            </c:strRef>
          </c:cat>
          <c:val>
            <c:numRef>
              <c:f>liquidity!$B$4:$B$13</c:f>
              <c:numCache>
                <c:formatCode>General</c:formatCode>
                <c:ptCount val="9"/>
                <c:pt idx="0">
                  <c:v>3.75</c:v>
                </c:pt>
                <c:pt idx="1">
                  <c:v>2.97</c:v>
                </c:pt>
                <c:pt idx="2">
                  <c:v>1.99</c:v>
                </c:pt>
                <c:pt idx="3">
                  <c:v>2.21</c:v>
                </c:pt>
                <c:pt idx="4">
                  <c:v>4.42</c:v>
                </c:pt>
                <c:pt idx="5">
                  <c:v>7.44</c:v>
                </c:pt>
                <c:pt idx="6">
                  <c:v>11.8</c:v>
                </c:pt>
                <c:pt idx="7">
                  <c:v>9.1199999999999992</c:v>
                </c:pt>
                <c:pt idx="8">
                  <c:v>6.37</c:v>
                </c:pt>
              </c:numCache>
            </c:numRef>
          </c:val>
          <c:extLst>
            <c:ext xmlns:c16="http://schemas.microsoft.com/office/drawing/2014/chart" uri="{C3380CC4-5D6E-409C-BE32-E72D297353CC}">
              <c16:uniqueId val="{00000000-38BE-4371-A365-C9783BFC5F75}"/>
            </c:ext>
          </c:extLst>
        </c:ser>
        <c:dLbls>
          <c:showLegendKey val="0"/>
          <c:showVal val="0"/>
          <c:showCatName val="0"/>
          <c:showSerName val="0"/>
          <c:showPercent val="0"/>
          <c:showBubbleSize val="0"/>
        </c:dLbls>
        <c:gapWidth val="100"/>
        <c:overlap val="-24"/>
        <c:axId val="687689200"/>
        <c:axId val="687711760"/>
      </c:barChart>
      <c:catAx>
        <c:axId val="687689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7711760"/>
        <c:crosses val="autoZero"/>
        <c:auto val="1"/>
        <c:lblAlgn val="ctr"/>
        <c:lblOffset val="100"/>
        <c:noMultiLvlLbl val="0"/>
      </c:catAx>
      <c:valAx>
        <c:axId val="687711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768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[FRA_DASHBOARD.xlsx]liquidity!PivotTable2</c:name>
    <c:fmtId val="6"/>
  </c:pivotSource>
  <c:chart>
    <c:autoTitleDeleted val="1"/>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liquidity!$B$3</c:f>
              <c:strCache>
                <c:ptCount val="1"/>
                <c:pt idx="0">
                  <c:v>Total</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6"/>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7"/>
            <c:bubble3D val="0"/>
            <c:spPr>
              <a:gradFill rotWithShape="1">
                <a:gsLst>
                  <a:gs pos="0">
                    <a:schemeClr val="accent2">
                      <a:lumMod val="60000"/>
                      <a:tint val="96000"/>
                      <a:lumMod val="100000"/>
                    </a:schemeClr>
                  </a:gs>
                  <a:gs pos="78000">
                    <a:schemeClr val="accent2">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8"/>
            <c:bubble3D val="0"/>
            <c:spPr>
              <a:gradFill rotWithShape="1">
                <a:gsLst>
                  <a:gs pos="0">
                    <a:schemeClr val="accent3">
                      <a:lumMod val="60000"/>
                      <a:tint val="96000"/>
                      <a:lumMod val="100000"/>
                    </a:schemeClr>
                  </a:gs>
                  <a:gs pos="78000">
                    <a:schemeClr val="accent3">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liquidity!$A$4:$A$13</c:f>
              <c:strCache>
                <c:ptCount val="9"/>
                <c:pt idx="0">
                  <c:v>2015</c:v>
                </c:pt>
                <c:pt idx="1">
                  <c:v>2016</c:v>
                </c:pt>
                <c:pt idx="2">
                  <c:v>2018</c:v>
                </c:pt>
                <c:pt idx="3">
                  <c:v>2019</c:v>
                </c:pt>
                <c:pt idx="4">
                  <c:v>2020</c:v>
                </c:pt>
                <c:pt idx="5">
                  <c:v>2021</c:v>
                </c:pt>
                <c:pt idx="6">
                  <c:v>2022</c:v>
                </c:pt>
                <c:pt idx="7">
                  <c:v>2023</c:v>
                </c:pt>
                <c:pt idx="8">
                  <c:v>2024</c:v>
                </c:pt>
              </c:strCache>
            </c:strRef>
          </c:cat>
          <c:val>
            <c:numRef>
              <c:f>liquidity!$B$4:$B$13</c:f>
              <c:numCache>
                <c:formatCode>General</c:formatCode>
                <c:ptCount val="9"/>
                <c:pt idx="0">
                  <c:v>3.75</c:v>
                </c:pt>
                <c:pt idx="1">
                  <c:v>2.97</c:v>
                </c:pt>
                <c:pt idx="2">
                  <c:v>1.99</c:v>
                </c:pt>
                <c:pt idx="3">
                  <c:v>2.21</c:v>
                </c:pt>
                <c:pt idx="4">
                  <c:v>4.42</c:v>
                </c:pt>
                <c:pt idx="5">
                  <c:v>7.44</c:v>
                </c:pt>
                <c:pt idx="6">
                  <c:v>11.8</c:v>
                </c:pt>
                <c:pt idx="7">
                  <c:v>9.1199999999999992</c:v>
                </c:pt>
                <c:pt idx="8">
                  <c:v>6.37</c:v>
                </c:pt>
              </c:numCache>
            </c:numRef>
          </c:val>
          <c:extLst>
            <c:ext xmlns:c16="http://schemas.microsoft.com/office/drawing/2014/chart" uri="{C3380CC4-5D6E-409C-BE32-E72D297353CC}">
              <c16:uniqueId val="{00000000-E057-4485-8BEF-4FD6F61E602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[FRA_DASHBOARD.xlsx]effiency!PivotTable3</c:name>
    <c:fmtId val="2"/>
  </c:pivotSource>
  <c:chart>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9525">
              <a:solidFill>
                <a:schemeClr val="accent2"/>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effiency!$B$3</c:f>
              <c:strCache>
                <c:ptCount val="1"/>
                <c:pt idx="0">
                  <c:v>Sum of Debtors Turnover Ratio</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effiency!$A$4:$A$13</c:f>
              <c:strCache>
                <c:ptCount val="9"/>
                <c:pt idx="0">
                  <c:v>2015</c:v>
                </c:pt>
                <c:pt idx="1">
                  <c:v>2016</c:v>
                </c:pt>
                <c:pt idx="2">
                  <c:v>2018</c:v>
                </c:pt>
                <c:pt idx="3">
                  <c:v>2019</c:v>
                </c:pt>
                <c:pt idx="4">
                  <c:v>2020</c:v>
                </c:pt>
                <c:pt idx="5">
                  <c:v>2021</c:v>
                </c:pt>
                <c:pt idx="6">
                  <c:v>2022</c:v>
                </c:pt>
                <c:pt idx="7">
                  <c:v>2023</c:v>
                </c:pt>
                <c:pt idx="8">
                  <c:v>2024</c:v>
                </c:pt>
              </c:strCache>
            </c:strRef>
          </c:cat>
          <c:val>
            <c:numRef>
              <c:f>effiency!$B$4:$B$13</c:f>
              <c:numCache>
                <c:formatCode>General</c:formatCode>
                <c:ptCount val="9"/>
                <c:pt idx="0">
                  <c:v>3.04</c:v>
                </c:pt>
                <c:pt idx="1">
                  <c:v>2.82</c:v>
                </c:pt>
                <c:pt idx="2">
                  <c:v>3.48</c:v>
                </c:pt>
                <c:pt idx="3">
                  <c:v>3.75</c:v>
                </c:pt>
                <c:pt idx="4">
                  <c:v>4.9800000000000004</c:v>
                </c:pt>
                <c:pt idx="5">
                  <c:v>5.04</c:v>
                </c:pt>
                <c:pt idx="6">
                  <c:v>5.34</c:v>
                </c:pt>
                <c:pt idx="7">
                  <c:v>4.93</c:v>
                </c:pt>
                <c:pt idx="8">
                  <c:v>5.18</c:v>
                </c:pt>
              </c:numCache>
            </c:numRef>
          </c:val>
          <c:extLst>
            <c:ext xmlns:c16="http://schemas.microsoft.com/office/drawing/2014/chart" uri="{C3380CC4-5D6E-409C-BE32-E72D297353CC}">
              <c16:uniqueId val="{00000000-E30A-4172-93E2-2FB796EDC8F8}"/>
            </c:ext>
          </c:extLst>
        </c:ser>
        <c:ser>
          <c:idx val="1"/>
          <c:order val="1"/>
          <c:tx>
            <c:strRef>
              <c:f>effiency!$C$3</c:f>
              <c:strCache>
                <c:ptCount val="1"/>
                <c:pt idx="0">
                  <c:v>Sum of Inventory Turnover Ratio</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effiency!$A$4:$A$13</c:f>
              <c:strCache>
                <c:ptCount val="9"/>
                <c:pt idx="0">
                  <c:v>2015</c:v>
                </c:pt>
                <c:pt idx="1">
                  <c:v>2016</c:v>
                </c:pt>
                <c:pt idx="2">
                  <c:v>2018</c:v>
                </c:pt>
                <c:pt idx="3">
                  <c:v>2019</c:v>
                </c:pt>
                <c:pt idx="4">
                  <c:v>2020</c:v>
                </c:pt>
                <c:pt idx="5">
                  <c:v>2021</c:v>
                </c:pt>
                <c:pt idx="6">
                  <c:v>2022</c:v>
                </c:pt>
                <c:pt idx="7">
                  <c:v>2023</c:v>
                </c:pt>
                <c:pt idx="8">
                  <c:v>2024</c:v>
                </c:pt>
              </c:strCache>
            </c:strRef>
          </c:cat>
          <c:val>
            <c:numRef>
              <c:f>effiency!$C$4:$C$13</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E30A-4172-93E2-2FB796EDC8F8}"/>
            </c:ext>
          </c:extLst>
        </c:ser>
        <c:ser>
          <c:idx val="2"/>
          <c:order val="2"/>
          <c:tx>
            <c:strRef>
              <c:f>effiency!$D$3</c:f>
              <c:strCache>
                <c:ptCount val="1"/>
                <c:pt idx="0">
                  <c:v>Sum of Fixed Assets Turnover Ratio</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effiency!$A$4:$A$13</c:f>
              <c:strCache>
                <c:ptCount val="9"/>
                <c:pt idx="0">
                  <c:v>2015</c:v>
                </c:pt>
                <c:pt idx="1">
                  <c:v>2016</c:v>
                </c:pt>
                <c:pt idx="2">
                  <c:v>2018</c:v>
                </c:pt>
                <c:pt idx="3">
                  <c:v>2019</c:v>
                </c:pt>
                <c:pt idx="4">
                  <c:v>2020</c:v>
                </c:pt>
                <c:pt idx="5">
                  <c:v>2021</c:v>
                </c:pt>
                <c:pt idx="6">
                  <c:v>2022</c:v>
                </c:pt>
                <c:pt idx="7">
                  <c:v>2023</c:v>
                </c:pt>
                <c:pt idx="8">
                  <c:v>2024</c:v>
                </c:pt>
              </c:strCache>
            </c:strRef>
          </c:cat>
          <c:val>
            <c:numRef>
              <c:f>effiency!$D$4:$D$13</c:f>
              <c:numCache>
                <c:formatCode>General</c:formatCode>
                <c:ptCount val="9"/>
                <c:pt idx="0">
                  <c:v>7.52</c:v>
                </c:pt>
                <c:pt idx="1">
                  <c:v>6.83</c:v>
                </c:pt>
                <c:pt idx="2">
                  <c:v>15.58</c:v>
                </c:pt>
                <c:pt idx="3">
                  <c:v>3.16</c:v>
                </c:pt>
                <c:pt idx="4">
                  <c:v>4.26</c:v>
                </c:pt>
                <c:pt idx="5">
                  <c:v>4.24</c:v>
                </c:pt>
                <c:pt idx="6">
                  <c:v>5.35</c:v>
                </c:pt>
                <c:pt idx="7">
                  <c:v>6.44</c:v>
                </c:pt>
                <c:pt idx="8">
                  <c:v>6.49</c:v>
                </c:pt>
              </c:numCache>
            </c:numRef>
          </c:val>
          <c:extLst>
            <c:ext xmlns:c16="http://schemas.microsoft.com/office/drawing/2014/chart" uri="{C3380CC4-5D6E-409C-BE32-E72D297353CC}">
              <c16:uniqueId val="{00000002-E30A-4172-93E2-2FB796EDC8F8}"/>
            </c:ext>
          </c:extLst>
        </c:ser>
        <c:dLbls>
          <c:showLegendKey val="0"/>
          <c:showVal val="0"/>
          <c:showCatName val="0"/>
          <c:showSerName val="0"/>
          <c:showPercent val="0"/>
          <c:showBubbleSize val="0"/>
        </c:dLbls>
        <c:gapWidth val="100"/>
        <c:overlap val="-24"/>
        <c:axId val="687726160"/>
        <c:axId val="687715600"/>
      </c:barChart>
      <c:catAx>
        <c:axId val="687726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7715600"/>
        <c:auto val="1"/>
        <c:lblAlgn val="ctr"/>
        <c:lblOffset val="100"/>
        <c:noMultiLvlLbl val="0"/>
      </c:catAx>
      <c:valAx>
        <c:axId val="6877156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7726160"/>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[FRA_DASHBOARD.xlsx]Profitablility ratio!PivotTable4</c:name>
    <c:fmtId val="0"/>
  </c:pivotSource>
  <c:chart>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9525">
              <a:solidFill>
                <a:schemeClr val="accent2"/>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4">
                    <a:tint val="96000"/>
                    <a:lumMod val="100000"/>
                  </a:schemeClr>
                </a:gs>
                <a:gs pos="78000">
                  <a:schemeClr val="accent4">
                    <a:shade val="94000"/>
                    <a:lumMod val="94000"/>
                  </a:schemeClr>
                </a:gs>
              </a:gsLst>
              <a:lin ang="5400000" scaled="0"/>
            </a:gradFill>
            <a:ln w="9525">
              <a:solidFill>
                <a:schemeClr val="accent4"/>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5">
                    <a:tint val="96000"/>
                    <a:lumMod val="100000"/>
                  </a:schemeClr>
                </a:gs>
                <a:gs pos="78000">
                  <a:schemeClr val="accent5">
                    <a:shade val="94000"/>
                    <a:lumMod val="94000"/>
                  </a:schemeClr>
                </a:gs>
              </a:gsLst>
              <a:lin ang="5400000" scaled="0"/>
            </a:gradFill>
            <a:ln w="9525">
              <a:solidFill>
                <a:schemeClr val="accent5"/>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6">
                    <a:tint val="96000"/>
                    <a:lumMod val="100000"/>
                  </a:schemeClr>
                </a:gs>
                <a:gs pos="78000">
                  <a:schemeClr val="accent6">
                    <a:shade val="94000"/>
                    <a:lumMod val="94000"/>
                  </a:schemeClr>
                </a:gs>
              </a:gsLst>
              <a:lin ang="5400000" scaled="0"/>
            </a:gradFill>
            <a:ln w="9525">
              <a:solidFill>
                <a:schemeClr val="accent6"/>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'Profitablility ratio'!$B$3</c:f>
              <c:strCache>
                <c:ptCount val="1"/>
                <c:pt idx="0">
                  <c:v>Sum of Total Asset Turnover Ratio</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ratio'!$B$4:$B$13</c:f>
              <c:numCache>
                <c:formatCode>General</c:formatCode>
                <c:ptCount val="9"/>
                <c:pt idx="0">
                  <c:v>0.78</c:v>
                </c:pt>
                <c:pt idx="1">
                  <c:v>0.45</c:v>
                </c:pt>
                <c:pt idx="2">
                  <c:v>0.42</c:v>
                </c:pt>
                <c:pt idx="3">
                  <c:v>0.84</c:v>
                </c:pt>
                <c:pt idx="4">
                  <c:v>0.78</c:v>
                </c:pt>
                <c:pt idx="5">
                  <c:v>0.51</c:v>
                </c:pt>
                <c:pt idx="6">
                  <c:v>0.37</c:v>
                </c:pt>
                <c:pt idx="7">
                  <c:v>0.45</c:v>
                </c:pt>
                <c:pt idx="8">
                  <c:v>0.57999999999999996</c:v>
                </c:pt>
              </c:numCache>
            </c:numRef>
          </c:val>
          <c:extLst>
            <c:ext xmlns:c16="http://schemas.microsoft.com/office/drawing/2014/chart" uri="{C3380CC4-5D6E-409C-BE32-E72D297353CC}">
              <c16:uniqueId val="{00000000-DEF6-4124-9FA3-D4083B1ABFBB}"/>
            </c:ext>
          </c:extLst>
        </c:ser>
        <c:ser>
          <c:idx val="1"/>
          <c:order val="1"/>
          <c:tx>
            <c:strRef>
              <c:f>'Profitablility ratio'!$C$3</c:f>
              <c:strCache>
                <c:ptCount val="1"/>
                <c:pt idx="0">
                  <c:v>Sum of RONW (%)</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ratio'!$C$4:$C$13</c:f>
              <c:numCache>
                <c:formatCode>General</c:formatCode>
                <c:ptCount val="9"/>
                <c:pt idx="0">
                  <c:v>0</c:v>
                </c:pt>
                <c:pt idx="1">
                  <c:v>0</c:v>
                </c:pt>
                <c:pt idx="2">
                  <c:v>0</c:v>
                </c:pt>
                <c:pt idx="3">
                  <c:v>0</c:v>
                </c:pt>
                <c:pt idx="4">
                  <c:v>0</c:v>
                </c:pt>
                <c:pt idx="5">
                  <c:v>0</c:v>
                </c:pt>
                <c:pt idx="6">
                  <c:v>0</c:v>
                </c:pt>
                <c:pt idx="7">
                  <c:v>0</c:v>
                </c:pt>
                <c:pt idx="8">
                  <c:v>0.94</c:v>
                </c:pt>
              </c:numCache>
            </c:numRef>
          </c:val>
          <c:extLst>
            <c:ext xmlns:c16="http://schemas.microsoft.com/office/drawing/2014/chart" uri="{C3380CC4-5D6E-409C-BE32-E72D297353CC}">
              <c16:uniqueId val="{00000001-DEF6-4124-9FA3-D4083B1ABFBB}"/>
            </c:ext>
          </c:extLst>
        </c:ser>
        <c:ser>
          <c:idx val="2"/>
          <c:order val="2"/>
          <c:tx>
            <c:strRef>
              <c:f>'Profitablility ratio'!$D$3</c:f>
              <c:strCache>
                <c:ptCount val="1"/>
                <c:pt idx="0">
                  <c:v>Sum of ROCE (%)</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ratio'!$D$4:$D$13</c:f>
              <c:numCache>
                <c:formatCode>General</c:formatCode>
                <c:ptCount val="9"/>
                <c:pt idx="0">
                  <c:v>0</c:v>
                </c:pt>
                <c:pt idx="1">
                  <c:v>0</c:v>
                </c:pt>
                <c:pt idx="2">
                  <c:v>0</c:v>
                </c:pt>
                <c:pt idx="3">
                  <c:v>0</c:v>
                </c:pt>
                <c:pt idx="4">
                  <c:v>0</c:v>
                </c:pt>
                <c:pt idx="5">
                  <c:v>0</c:v>
                </c:pt>
                <c:pt idx="6">
                  <c:v>0</c:v>
                </c:pt>
                <c:pt idx="7">
                  <c:v>0</c:v>
                </c:pt>
                <c:pt idx="8">
                  <c:v>1.46</c:v>
                </c:pt>
              </c:numCache>
            </c:numRef>
          </c:val>
          <c:extLst>
            <c:ext xmlns:c16="http://schemas.microsoft.com/office/drawing/2014/chart" uri="{C3380CC4-5D6E-409C-BE32-E72D297353CC}">
              <c16:uniqueId val="{00000002-DEF6-4124-9FA3-D4083B1ABFBB}"/>
            </c:ext>
          </c:extLst>
        </c:ser>
        <c:ser>
          <c:idx val="3"/>
          <c:order val="3"/>
          <c:tx>
            <c:strRef>
              <c:f>'Profitablility ratio'!$E$3</c:f>
              <c:strCache>
                <c:ptCount val="1"/>
                <c:pt idx="0">
                  <c:v>Sum of PBDTM (%)</c:v>
                </c:pt>
              </c:strCache>
            </c:strRef>
          </c:tx>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ratio'!$E$4:$E$13</c:f>
              <c:numCache>
                <c:formatCode>General</c:formatCode>
                <c:ptCount val="9"/>
                <c:pt idx="0">
                  <c:v>-79.67</c:v>
                </c:pt>
                <c:pt idx="1">
                  <c:v>-135.81</c:v>
                </c:pt>
                <c:pt idx="2">
                  <c:v>-14.73</c:v>
                </c:pt>
                <c:pt idx="3">
                  <c:v>-69.34</c:v>
                </c:pt>
                <c:pt idx="4">
                  <c:v>-41.4</c:v>
                </c:pt>
                <c:pt idx="5">
                  <c:v>-14.51</c:v>
                </c:pt>
                <c:pt idx="6">
                  <c:v>-55.48</c:v>
                </c:pt>
                <c:pt idx="7">
                  <c:v>-16.579999999999998</c:v>
                </c:pt>
                <c:pt idx="8">
                  <c:v>4.82</c:v>
                </c:pt>
              </c:numCache>
            </c:numRef>
          </c:val>
          <c:extLst>
            <c:ext xmlns:c16="http://schemas.microsoft.com/office/drawing/2014/chart" uri="{C3380CC4-5D6E-409C-BE32-E72D297353CC}">
              <c16:uniqueId val="{00000003-DEF6-4124-9FA3-D4083B1ABFBB}"/>
            </c:ext>
          </c:extLst>
        </c:ser>
        <c:ser>
          <c:idx val="4"/>
          <c:order val="4"/>
          <c:tx>
            <c:strRef>
              <c:f>'Profitablility ratio'!$F$3</c:f>
              <c:strCache>
                <c:ptCount val="1"/>
                <c:pt idx="0">
                  <c:v>Sum of PBITM (%)</c:v>
                </c:pt>
              </c:strCache>
            </c:strRef>
          </c:tx>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ratio'!$F$4:$F$13</c:f>
              <c:numCache>
                <c:formatCode>General</c:formatCode>
                <c:ptCount val="9"/>
                <c:pt idx="0">
                  <c:v>-82.2</c:v>
                </c:pt>
                <c:pt idx="1">
                  <c:v>-139.53</c:v>
                </c:pt>
                <c:pt idx="2">
                  <c:v>-16.920000000000002</c:v>
                </c:pt>
                <c:pt idx="3">
                  <c:v>-73.98</c:v>
                </c:pt>
                <c:pt idx="4">
                  <c:v>-45.97</c:v>
                </c:pt>
                <c:pt idx="5">
                  <c:v>-17.87</c:v>
                </c:pt>
                <c:pt idx="6">
                  <c:v>-57.52</c:v>
                </c:pt>
                <c:pt idx="7">
                  <c:v>-18.23</c:v>
                </c:pt>
                <c:pt idx="8">
                  <c:v>3.02</c:v>
                </c:pt>
              </c:numCache>
            </c:numRef>
          </c:val>
          <c:extLst>
            <c:ext xmlns:c16="http://schemas.microsoft.com/office/drawing/2014/chart" uri="{C3380CC4-5D6E-409C-BE32-E72D297353CC}">
              <c16:uniqueId val="{00000004-DEF6-4124-9FA3-D4083B1ABFBB}"/>
            </c:ext>
          </c:extLst>
        </c:ser>
        <c:ser>
          <c:idx val="5"/>
          <c:order val="5"/>
          <c:tx>
            <c:strRef>
              <c:f>'Profitablility ratio'!$G$3</c:f>
              <c:strCache>
                <c:ptCount val="1"/>
                <c:pt idx="0">
                  <c:v>Sum of PBIDTM (%)</c:v>
                </c:pt>
              </c:strCache>
            </c:strRef>
          </c:tx>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'Profitablility ratio'!$A$4:$A$13</c:f>
              <c:strCache>
                <c:ptCount val="9"/>
                <c:pt idx="0">
                  <c:v>2015</c:v>
                </c:pt>
                <c:pt idx="1">
                  <c:v>2016</c:v>
                </c:pt>
                <c:pt idx="2">
                  <c:v>2018</c:v>
                </c:pt>
                <c:pt idx="3">
                  <c:v>2019</c:v>
                </c:pt>
                <c:pt idx="4">
                  <c:v>2020</c:v>
                </c:pt>
                <c:pt idx="5">
                  <c:v>2021</c:v>
                </c:pt>
                <c:pt idx="6">
                  <c:v>2022</c:v>
                </c:pt>
                <c:pt idx="7">
                  <c:v>2023</c:v>
                </c:pt>
                <c:pt idx="8">
                  <c:v>2024</c:v>
                </c:pt>
              </c:strCache>
            </c:strRef>
          </c:cat>
          <c:val>
            <c:numRef>
              <c:f>'Profitablility ratio'!$G$4:$G$13</c:f>
              <c:numCache>
                <c:formatCode>General</c:formatCode>
                <c:ptCount val="9"/>
                <c:pt idx="0">
                  <c:v>-79.66</c:v>
                </c:pt>
                <c:pt idx="1">
                  <c:v>-135.80000000000001</c:v>
                </c:pt>
                <c:pt idx="2">
                  <c:v>-14.7</c:v>
                </c:pt>
                <c:pt idx="3">
                  <c:v>-67.8</c:v>
                </c:pt>
                <c:pt idx="4">
                  <c:v>-39.840000000000003</c:v>
                </c:pt>
                <c:pt idx="5">
                  <c:v>-13.2</c:v>
                </c:pt>
                <c:pt idx="6">
                  <c:v>-54.52</c:v>
                </c:pt>
                <c:pt idx="7">
                  <c:v>-15.74</c:v>
                </c:pt>
                <c:pt idx="8">
                  <c:v>5.6</c:v>
                </c:pt>
              </c:numCache>
            </c:numRef>
          </c:val>
          <c:extLst>
            <c:ext xmlns:c16="http://schemas.microsoft.com/office/drawing/2014/chart" uri="{C3380CC4-5D6E-409C-BE32-E72D297353CC}">
              <c16:uniqueId val="{00000005-DEF6-4124-9FA3-D4083B1ABFBB}"/>
            </c:ext>
          </c:extLst>
        </c:ser>
        <c:dLbls>
          <c:showLegendKey val="0"/>
          <c:showVal val="0"/>
          <c:showCatName val="0"/>
          <c:showSerName val="0"/>
          <c:showPercent val="0"/>
          <c:showBubbleSize val="0"/>
        </c:dLbls>
        <c:gapWidth val="100"/>
        <c:overlap val="-24"/>
        <c:axId val="1539477472"/>
        <c:axId val="1539479392"/>
      </c:barChart>
      <c:catAx>
        <c:axId val="1539477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9479392"/>
        <c:auto val="1"/>
        <c:lblAlgn val="ctr"/>
        <c:lblOffset val="100"/>
        <c:noMultiLvlLbl val="0"/>
      </c:catAx>
      <c:valAx>
        <c:axId val="1539479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9477472"/>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14099</xdr:colOff>
      <xdr:row>10</xdr:row>
      <xdr:rowOff>10439</xdr:rowOff>
    </xdr:from>
    <xdr:to>
      <xdr:col>8</xdr:col>
      <xdr:colOff>9922</xdr:colOff>
      <xdr:row>27</xdr:row>
      <xdr:rowOff>148828</xdr:rowOff>
    </xdr:to>
    <xdr:graphicFrame macro="">
      <xdr:nvGraphicFramePr>
        <xdr:cNvPr id="2" name="Chart 1">
          <a:extLst>
            <a:ext uri="{FF2B5EF4-FFF2-40B4-BE49-F238E27FC236}">
              <a16:creationId xmlns:a16="http://schemas.microsoft.com/office/drawing/2014/main" id="{915168F1-9C15-968E-B8A8-0D83376D7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21446</xdr:colOff>
      <xdr:row>5</xdr:row>
      <xdr:rowOff>74032</xdr:rowOff>
    </xdr:from>
    <xdr:to>
      <xdr:col>17</xdr:col>
      <xdr:colOff>33421</xdr:colOff>
      <xdr:row>24</xdr:row>
      <xdr:rowOff>41776</xdr:rowOff>
    </xdr:to>
    <xdr:graphicFrame macro="">
      <xdr:nvGraphicFramePr>
        <xdr:cNvPr id="3" name="Chart 2">
          <a:extLst>
            <a:ext uri="{FF2B5EF4-FFF2-40B4-BE49-F238E27FC236}">
              <a16:creationId xmlns:a16="http://schemas.microsoft.com/office/drawing/2014/main" id="{24DE580D-80B5-F070-0A69-621AB17BB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27460</xdr:colOff>
      <xdr:row>10</xdr:row>
      <xdr:rowOff>14636</xdr:rowOff>
    </xdr:from>
    <xdr:to>
      <xdr:col>9</xdr:col>
      <xdr:colOff>905501</xdr:colOff>
      <xdr:row>20</xdr:row>
      <xdr:rowOff>175461</xdr:rowOff>
    </xdr:to>
    <mc:AlternateContent xmlns:mc="http://schemas.openxmlformats.org/markup-compatibility/2006">
      <mc:Choice xmlns:a14="http://schemas.microsoft.com/office/drawing/2010/main" Requires="a14">
        <xdr:graphicFrame macro="">
          <xdr:nvGraphicFramePr>
            <xdr:cNvPr id="14" name="Year 6">
              <a:extLst>
                <a:ext uri="{FF2B5EF4-FFF2-40B4-BE49-F238E27FC236}">
                  <a16:creationId xmlns:a16="http://schemas.microsoft.com/office/drawing/2014/main" id="{FF3CADD5-ED7C-B656-4E0D-44319856325A}"/>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dr:sp macro="" textlink="">
          <xdr:nvSpPr>
            <xdr:cNvPr id="0" name=""/>
            <xdr:cNvSpPr>
              <a:spLocks noTextEdit="1"/>
            </xdr:cNvSpPr>
          </xdr:nvSpPr>
          <xdr:spPr>
            <a:xfrm>
              <a:off x="7680881" y="1886215"/>
              <a:ext cx="1788765" cy="1998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24902</xdr:rowOff>
    </xdr:from>
    <xdr:to>
      <xdr:col>69</xdr:col>
      <xdr:colOff>368708</xdr:colOff>
      <xdr:row>69</xdr:row>
      <xdr:rowOff>151902</xdr:rowOff>
    </xdr:to>
    <xdr:sp macro="" textlink="">
      <xdr:nvSpPr>
        <xdr:cNvPr id="4" name="Rectangle 3">
          <a:extLst>
            <a:ext uri="{FF2B5EF4-FFF2-40B4-BE49-F238E27FC236}">
              <a16:creationId xmlns:a16="http://schemas.microsoft.com/office/drawing/2014/main" id="{24DF7835-633E-5FD9-CEAA-07F13F12F178}"/>
            </a:ext>
          </a:extLst>
        </xdr:cNvPr>
        <xdr:cNvSpPr/>
      </xdr:nvSpPr>
      <xdr:spPr>
        <a:xfrm>
          <a:off x="0" y="24902"/>
          <a:ext cx="45901943" cy="13013765"/>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324067</xdr:colOff>
      <xdr:row>5</xdr:row>
      <xdr:rowOff>69021</xdr:rowOff>
    </xdr:from>
    <xdr:to>
      <xdr:col>8</xdr:col>
      <xdr:colOff>282222</xdr:colOff>
      <xdr:row>25</xdr:row>
      <xdr:rowOff>149516</xdr:rowOff>
    </xdr:to>
    <xdr:graphicFrame macro="">
      <xdr:nvGraphicFramePr>
        <xdr:cNvPr id="6" name="Chart 5">
          <a:extLst>
            <a:ext uri="{FF2B5EF4-FFF2-40B4-BE49-F238E27FC236}">
              <a16:creationId xmlns:a16="http://schemas.microsoft.com/office/drawing/2014/main" id="{691E428D-C9BA-4972-B1ED-DC395C3BD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582084</xdr:colOff>
      <xdr:row>9</xdr:row>
      <xdr:rowOff>65668</xdr:rowOff>
    </xdr:from>
    <xdr:to>
      <xdr:col>30</xdr:col>
      <xdr:colOff>185209</xdr:colOff>
      <xdr:row>24</xdr:row>
      <xdr:rowOff>0</xdr:rowOff>
    </xdr:to>
    <mc:AlternateContent xmlns:mc="http://schemas.openxmlformats.org/markup-compatibility/2006">
      <mc:Choice xmlns:a14="http://schemas.microsoft.com/office/drawing/2010/main" Requires="a14">
        <xdr:graphicFrame macro="">
          <xdr:nvGraphicFramePr>
            <xdr:cNvPr id="7" name="Year 5">
              <a:extLst>
                <a:ext uri="{FF2B5EF4-FFF2-40B4-BE49-F238E27FC236}">
                  <a16:creationId xmlns:a16="http://schemas.microsoft.com/office/drawing/2014/main" id="{A23813DB-3768-4531-A598-8050A0D51ABC}"/>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dr:sp macro="" textlink="">
          <xdr:nvSpPr>
            <xdr:cNvPr id="0" name=""/>
            <xdr:cNvSpPr>
              <a:spLocks noTextEdit="1"/>
            </xdr:cNvSpPr>
          </xdr:nvSpPr>
          <xdr:spPr>
            <a:xfrm>
              <a:off x="17079633" y="1746550"/>
              <a:ext cx="2902635" cy="2735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438355</xdr:colOff>
      <xdr:row>5</xdr:row>
      <xdr:rowOff>82827</xdr:rowOff>
    </xdr:from>
    <xdr:to>
      <xdr:col>16</xdr:col>
      <xdr:colOff>163261</xdr:colOff>
      <xdr:row>25</xdr:row>
      <xdr:rowOff>169333</xdr:rowOff>
    </xdr:to>
    <xdr:graphicFrame macro="">
      <xdr:nvGraphicFramePr>
        <xdr:cNvPr id="13" name="Chart 12">
          <a:extLst>
            <a:ext uri="{FF2B5EF4-FFF2-40B4-BE49-F238E27FC236}">
              <a16:creationId xmlns:a16="http://schemas.microsoft.com/office/drawing/2014/main" id="{5DC51B7E-7E13-4A7E-8B8C-CCF250231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220869</xdr:colOff>
      <xdr:row>0</xdr:row>
      <xdr:rowOff>108706</xdr:rowOff>
    </xdr:from>
    <xdr:to>
      <xdr:col>22</xdr:col>
      <xdr:colOff>414130</xdr:colOff>
      <xdr:row>4</xdr:row>
      <xdr:rowOff>108707</xdr:rowOff>
    </xdr:to>
    <xdr:sp macro="" textlink="">
      <xdr:nvSpPr>
        <xdr:cNvPr id="21" name="TextBox 20">
          <a:extLst>
            <a:ext uri="{FF2B5EF4-FFF2-40B4-BE49-F238E27FC236}">
              <a16:creationId xmlns:a16="http://schemas.microsoft.com/office/drawing/2014/main" id="{BC7DF65D-9A8D-F9DB-7B74-45D3A1ED1B83}"/>
            </a:ext>
          </a:extLst>
        </xdr:cNvPr>
        <xdr:cNvSpPr txBox="1"/>
      </xdr:nvSpPr>
      <xdr:spPr>
        <a:xfrm>
          <a:off x="1546086" y="108706"/>
          <a:ext cx="13445435" cy="71782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t>KEY</a:t>
          </a:r>
          <a:r>
            <a:rPr lang="en-IN" sz="3200" baseline="0"/>
            <a:t> RATIOS OF POLICY BAZAAR FINTECH LTD.</a:t>
          </a:r>
          <a:endParaRPr lang="en-IN" sz="3200"/>
        </a:p>
      </xdr:txBody>
    </xdr:sp>
    <xdr:clientData/>
  </xdr:twoCellAnchor>
  <xdr:twoCellAnchor>
    <xdr:from>
      <xdr:col>16</xdr:col>
      <xdr:colOff>239889</xdr:colOff>
      <xdr:row>5</xdr:row>
      <xdr:rowOff>124239</xdr:rowOff>
    </xdr:from>
    <xdr:to>
      <xdr:col>25</xdr:col>
      <xdr:colOff>463021</xdr:colOff>
      <xdr:row>25</xdr:row>
      <xdr:rowOff>165652</xdr:rowOff>
    </xdr:to>
    <xdr:graphicFrame macro="">
      <xdr:nvGraphicFramePr>
        <xdr:cNvPr id="22" name="Chart 21">
          <a:extLst>
            <a:ext uri="{FF2B5EF4-FFF2-40B4-BE49-F238E27FC236}">
              <a16:creationId xmlns:a16="http://schemas.microsoft.com/office/drawing/2014/main" id="{219E5EDD-0E65-4221-AB0C-F3EB9279E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307262</xdr:colOff>
      <xdr:row>26</xdr:row>
      <xdr:rowOff>69022</xdr:rowOff>
    </xdr:from>
    <xdr:to>
      <xdr:col>21</xdr:col>
      <xdr:colOff>511681</xdr:colOff>
      <xdr:row>42</xdr:row>
      <xdr:rowOff>138044</xdr:rowOff>
    </xdr:to>
    <xdr:graphicFrame macro="">
      <xdr:nvGraphicFramePr>
        <xdr:cNvPr id="23" name="Chart 22">
          <a:extLst>
            <a:ext uri="{FF2B5EF4-FFF2-40B4-BE49-F238E27FC236}">
              <a16:creationId xmlns:a16="http://schemas.microsoft.com/office/drawing/2014/main" id="{3EA11A3B-2EA8-4BCD-ADAD-A75E3D532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871416</xdr:colOff>
      <xdr:row>13</xdr:row>
      <xdr:rowOff>163146</xdr:rowOff>
    </xdr:from>
    <xdr:to>
      <xdr:col>4</xdr:col>
      <xdr:colOff>954456</xdr:colOff>
      <xdr:row>27</xdr:row>
      <xdr:rowOff>109171</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53738711-0C06-8F50-8CE4-D8B661B87E0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283570" y="2683608"/>
              <a:ext cx="1831732" cy="2544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69933</xdr:colOff>
      <xdr:row>13</xdr:row>
      <xdr:rowOff>156008</xdr:rowOff>
    </xdr:from>
    <xdr:to>
      <xdr:col>3</xdr:col>
      <xdr:colOff>631338</xdr:colOff>
      <xdr:row>28</xdr:row>
      <xdr:rowOff>136959</xdr:rowOff>
    </xdr:to>
    <xdr:graphicFrame macro="">
      <xdr:nvGraphicFramePr>
        <xdr:cNvPr id="3" name="Chart 2">
          <a:extLst>
            <a:ext uri="{FF2B5EF4-FFF2-40B4-BE49-F238E27FC236}">
              <a16:creationId xmlns:a16="http://schemas.microsoft.com/office/drawing/2014/main" id="{BE56993B-0252-2F23-CCCF-226C52613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756036</xdr:colOff>
      <xdr:row>13</xdr:row>
      <xdr:rowOff>133735</xdr:rowOff>
    </xdr:from>
    <xdr:to>
      <xdr:col>1</xdr:col>
      <xdr:colOff>1496870</xdr:colOff>
      <xdr:row>27</xdr:row>
      <xdr:rowOff>79759</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245FBC43-E5EF-8437-40AF-EE0F9ECBA8C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56036" y="2510174"/>
              <a:ext cx="1818410" cy="2505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287867</xdr:colOff>
      <xdr:row>2</xdr:row>
      <xdr:rowOff>98136</xdr:rowOff>
    </xdr:from>
    <xdr:to>
      <xdr:col>9</xdr:col>
      <xdr:colOff>592667</xdr:colOff>
      <xdr:row>17</xdr:row>
      <xdr:rowOff>79086</xdr:rowOff>
    </xdr:to>
    <xdr:graphicFrame macro="">
      <xdr:nvGraphicFramePr>
        <xdr:cNvPr id="3" name="Chart 2">
          <a:extLst>
            <a:ext uri="{FF2B5EF4-FFF2-40B4-BE49-F238E27FC236}">
              <a16:creationId xmlns:a16="http://schemas.microsoft.com/office/drawing/2014/main" id="{1D285B79-E48D-65E8-AFFE-71554291F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32713</xdr:colOff>
      <xdr:row>2</xdr:row>
      <xdr:rowOff>86014</xdr:rowOff>
    </xdr:from>
    <xdr:to>
      <xdr:col>17</xdr:col>
      <xdr:colOff>467591</xdr:colOff>
      <xdr:row>17</xdr:row>
      <xdr:rowOff>87168</xdr:rowOff>
    </xdr:to>
    <xdr:graphicFrame macro="">
      <xdr:nvGraphicFramePr>
        <xdr:cNvPr id="5" name="Chart 4">
          <a:extLst>
            <a:ext uri="{FF2B5EF4-FFF2-40B4-BE49-F238E27FC236}">
              <a16:creationId xmlns:a16="http://schemas.microsoft.com/office/drawing/2014/main" id="{976B9FF5-F379-A39B-DB5B-EBEA987A0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1566042</xdr:colOff>
      <xdr:row>13</xdr:row>
      <xdr:rowOff>108388</xdr:rowOff>
    </xdr:from>
    <xdr:to>
      <xdr:col>4</xdr:col>
      <xdr:colOff>887250</xdr:colOff>
      <xdr:row>27</xdr:row>
      <xdr:rowOff>52442</xdr:rowOff>
    </xdr:to>
    <mc:AlternateContent xmlns:mc="http://schemas.openxmlformats.org/markup-compatibility/2006">
      <mc:Choice xmlns:a14="http://schemas.microsoft.com/office/drawing/2010/main" Requires="a14">
        <xdr:graphicFrame macro="">
          <xdr:nvGraphicFramePr>
            <xdr:cNvPr id="2" name="Year 2">
              <a:extLst>
                <a:ext uri="{FF2B5EF4-FFF2-40B4-BE49-F238E27FC236}">
                  <a16:creationId xmlns:a16="http://schemas.microsoft.com/office/drawing/2014/main" id="{68703550-57D5-4ED0-8C6E-6AD6684D6CB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7182508" y="2527957"/>
              <a:ext cx="1839311" cy="2549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65690</xdr:colOff>
      <xdr:row>13</xdr:row>
      <xdr:rowOff>72039</xdr:rowOff>
    </xdr:from>
    <xdr:to>
      <xdr:col>3</xdr:col>
      <xdr:colOff>1434223</xdr:colOff>
      <xdr:row>28</xdr:row>
      <xdr:rowOff>51019</xdr:rowOff>
    </xdr:to>
    <xdr:graphicFrame macro="">
      <xdr:nvGraphicFramePr>
        <xdr:cNvPr id="4" name="Chart 3">
          <a:extLst>
            <a:ext uri="{FF2B5EF4-FFF2-40B4-BE49-F238E27FC236}">
              <a16:creationId xmlns:a16="http://schemas.microsoft.com/office/drawing/2014/main" id="{723C1685-C890-6B2A-58FE-20DCB810F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425450</xdr:colOff>
      <xdr:row>1</xdr:row>
      <xdr:rowOff>25400</xdr:rowOff>
    </xdr:from>
    <xdr:to>
      <xdr:col>10</xdr:col>
      <xdr:colOff>287739</xdr:colOff>
      <xdr:row>14</xdr:row>
      <xdr:rowOff>155575</xdr:rowOff>
    </xdr:to>
    <mc:AlternateContent xmlns:mc="http://schemas.openxmlformats.org/markup-compatibility/2006">
      <mc:Choice xmlns:a14="http://schemas.microsoft.com/office/drawing/2010/main" Requires="a14">
        <xdr:graphicFrame macro="">
          <xdr:nvGraphicFramePr>
            <xdr:cNvPr id="2" name="Year 3">
              <a:extLst>
                <a:ext uri="{FF2B5EF4-FFF2-40B4-BE49-F238E27FC236}">
                  <a16:creationId xmlns:a16="http://schemas.microsoft.com/office/drawing/2014/main" id="{C8849624-108E-8B2E-4363-A16F7B5A67DF}"/>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9805089" y="209014"/>
              <a:ext cx="1836144" cy="2517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841566</xdr:colOff>
      <xdr:row>13</xdr:row>
      <xdr:rowOff>50800</xdr:rowOff>
    </xdr:from>
    <xdr:to>
      <xdr:col>6</xdr:col>
      <xdr:colOff>38252</xdr:colOff>
      <xdr:row>28</xdr:row>
      <xdr:rowOff>31750</xdr:rowOff>
    </xdr:to>
    <xdr:graphicFrame macro="">
      <xdr:nvGraphicFramePr>
        <xdr:cNvPr id="3" name="Chart 2">
          <a:extLst>
            <a:ext uri="{FF2B5EF4-FFF2-40B4-BE49-F238E27FC236}">
              <a16:creationId xmlns:a16="http://schemas.microsoft.com/office/drawing/2014/main" id="{8F411949-2B36-BA56-4D43-7ACB445AA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EK SINGH" refreshedDate="45908.67616747685" createdVersion="8" refreshedVersion="8" minRefreshableVersion="3" recordCount="9" xr:uid="{FFE7E22A-B979-4397-A0A9-985876B55E56}">
  <cacheSource type="worksheet">
    <worksheetSource ref="C6:S15" sheet="RATIO REPORT"/>
  </cacheSource>
  <cacheFields count="17">
    <cacheField name="Finance &gt;&gt;Key Financial Ratios (Consolidated)&gt;&gt;PB Fintech Ltd(Curr. Rs in )" numFmtId="0">
      <sharedItems containsNonDate="0" containsString="0" containsBlank="1"/>
    </cacheField>
    <cacheField name="Year" numFmtId="0">
      <sharedItems containsSemiMixedTypes="0" containsString="0" containsNumber="1" containsInteger="1" minValue="201503" maxValue="202403" count="9">
        <n v="202403"/>
        <n v="202303"/>
        <n v="202203"/>
        <n v="202103"/>
        <n v="202003"/>
        <n v="201903"/>
        <n v="201803"/>
        <n v="201603"/>
        <n v="201503"/>
      </sharedItems>
    </cacheField>
    <cacheField name="Key Ratios" numFmtId="0">
      <sharedItems containsNonDate="0" containsString="0" containsBlank="1"/>
    </cacheField>
    <cacheField name="Debt-Equity Ratio" numFmtId="0">
      <sharedItems containsSemiMixedTypes="0" containsString="0" containsNumber="1" minValue="0" maxValue="0.18"/>
    </cacheField>
    <cacheField name="Interest Cover Ratio" numFmtId="0">
      <sharedItems containsSemiMixedTypes="0" containsString="0" containsNumber="1" minValue="-12563.01" maxValue="3.89"/>
    </cacheField>
    <cacheField name="Long Term Debt-Equity Ratio" numFmtId="0">
      <sharedItems containsSemiMixedTypes="0" containsString="0" containsNumber="1" minValue="0" maxValue="0.13"/>
    </cacheField>
    <cacheField name="Current Ratio" numFmtId="0">
      <sharedItems containsSemiMixedTypes="0" containsString="0" containsNumber="1" minValue="1.99" maxValue="11.8"/>
    </cacheField>
    <cacheField name="Turnover Ratios" numFmtId="0">
      <sharedItems containsNonDate="0" containsString="0" containsBlank="1"/>
    </cacheField>
    <cacheField name="Fixed Assets Turnover Ratio" numFmtId="0">
      <sharedItems containsSemiMixedTypes="0" containsString="0" containsNumber="1" minValue="3.16" maxValue="15.58"/>
    </cacheField>
    <cacheField name="Inventory Turnover Ratio" numFmtId="0">
      <sharedItems containsSemiMixedTypes="0" containsString="0" containsNumber="1" containsInteger="1" minValue="0" maxValue="0"/>
    </cacheField>
    <cacheField name="Debtors Turnover Ratio" numFmtId="0">
      <sharedItems containsSemiMixedTypes="0" containsString="0" containsNumber="1" minValue="2.82" maxValue="5.34"/>
    </cacheField>
    <cacheField name="Total Asset Turnover Ratio" numFmtId="0">
      <sharedItems containsSemiMixedTypes="0" containsString="0" containsNumber="1" minValue="0.37" maxValue="0.84"/>
    </cacheField>
    <cacheField name="PBIDTM (%)" numFmtId="0">
      <sharedItems containsSemiMixedTypes="0" containsString="0" containsNumber="1" minValue="-135.80000000000001" maxValue="5.6"/>
    </cacheField>
    <cacheField name="PBITM (%)" numFmtId="0">
      <sharedItems containsSemiMixedTypes="0" containsString="0" containsNumber="1" minValue="-139.53" maxValue="3.02"/>
    </cacheField>
    <cacheField name="PBDTM (%)" numFmtId="0">
      <sharedItems containsSemiMixedTypes="0" containsString="0" containsNumber="1" minValue="-135.81" maxValue="4.82"/>
    </cacheField>
    <cacheField name="ROCE (%)" numFmtId="0">
      <sharedItems containsSemiMixedTypes="0" containsString="0" containsNumber="1" minValue="0" maxValue="1.46"/>
    </cacheField>
    <cacheField name="RONW (%)" numFmtId="0">
      <sharedItems containsSemiMixedTypes="0" containsString="0" containsNumber="1" minValue="0" maxValue="0.94"/>
    </cacheField>
  </cacheFields>
  <extLst>
    <ext xmlns:x14="http://schemas.microsoft.com/office/spreadsheetml/2009/9/main" uri="{725AE2AE-9491-48be-B2B4-4EB974FC3084}">
      <x14:pivotCacheDefinition pivotCacheId="16822981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EK SINGH" refreshedDate="45910.837188773148" createdVersion="8" refreshedVersion="8" minRefreshableVersion="3" recordCount="6" xr:uid="{285BE672-0A42-4DF6-A259-B6E87536E600}">
  <cacheSource type="worksheet">
    <worksheetSource ref="C5:L11" sheet="dupont model"/>
  </cacheSource>
  <cacheFields count="10">
    <cacheField name="Year" numFmtId="0">
      <sharedItems count="6">
        <s v="NP / PBT (X)"/>
        <s v="PBT / EBIT (X)"/>
        <s v="EBIT / Sales (X)"/>
        <s v="Sales / Assets (X)"/>
        <s v="Assets / Equity (X)"/>
        <s v="ROE (X)"/>
      </sharedItems>
    </cacheField>
    <cacheField name="2024" numFmtId="0">
      <sharedItems containsSemiMixedTypes="0" containsString="0" containsNumber="1" minValue="0.01" maxValue="0.87" count="5">
        <n v="0.87"/>
        <n v="0.74"/>
        <n v="0.03"/>
        <n v="0.57999999999999996"/>
        <n v="0.01"/>
      </sharedItems>
    </cacheField>
    <cacheField name="2023" numFmtId="0">
      <sharedItems containsSemiMixedTypes="0" containsString="0" containsNumber="1" minValue="-0.18" maxValue="1.05" count="6">
        <n v="1"/>
        <n v="1.05"/>
        <n v="-0.18"/>
        <n v="0.45"/>
        <n v="1.04"/>
        <n v="-0.09"/>
      </sharedItems>
    </cacheField>
    <cacheField name="2022" numFmtId="0">
      <sharedItems containsSemiMixedTypes="0" containsString="0" containsNumber="1" minValue="-0.57999999999999996" maxValue="1.04" count="6">
        <n v="1"/>
        <n v="1.02"/>
        <n v="-0.57999999999999996"/>
        <n v="0.37"/>
        <n v="1.04"/>
        <n v="-0.23"/>
      </sharedItems>
    </cacheField>
    <cacheField name="2021" numFmtId="0">
      <sharedItems containsSemiMixedTypes="0" containsString="0" containsNumber="1" minValue="-0.18" maxValue="1.08" count="6">
        <n v="1.05"/>
        <n v="1.07"/>
        <n v="-0.18"/>
        <n v="0.51"/>
        <n v="1.08"/>
        <n v="-0.11"/>
      </sharedItems>
    </cacheField>
    <cacheField name="2020" numFmtId="0">
      <sharedItems containsSemiMixedTypes="0" containsString="0" containsNumber="1" minValue="-0.46" maxValue="1.1299999999999999" count="5">
        <n v="1.03"/>
        <n v="-0.46"/>
        <n v="0.78"/>
        <n v="1.1299999999999999"/>
        <n v="-0.43"/>
      </sharedItems>
    </cacheField>
    <cacheField name="2019" numFmtId="0">
      <sharedItems containsSemiMixedTypes="0" containsString="0" containsNumber="1" minValue="-0.78" maxValue="1.2" count="5">
        <n v="1.02"/>
        <n v="-0.74"/>
        <n v="0.84"/>
        <n v="1.2"/>
        <n v="-0.78"/>
      </sharedItems>
    </cacheField>
    <cacheField name="2018" numFmtId="0">
      <sharedItems containsSemiMixedTypes="0" containsString="0" containsNumber="1" minValue="-0.17" maxValue="1.45" count="6">
        <n v="1.45"/>
        <n v="1"/>
        <n v="-0.17"/>
        <n v="0.42"/>
        <n v="1.01"/>
        <n v="-0.1"/>
      </sharedItems>
    </cacheField>
    <cacheField name="2016" numFmtId="0">
      <sharedItems containsSemiMixedTypes="0" containsString="0" containsNumber="1" minValue="-1.4" maxValue="1.02" count="5">
        <n v="1"/>
        <n v="-1.4"/>
        <n v="0.45"/>
        <n v="1.02"/>
        <n v="-0.63"/>
      </sharedItems>
    </cacheField>
    <cacheField name="2015" numFmtId="0">
      <sharedItems containsSemiMixedTypes="0" containsString="0" containsNumber="1" minValue="-0.82" maxValue="1.03" count="5">
        <n v="1"/>
        <n v="-0.82"/>
        <n v="0.78"/>
        <n v="1.03"/>
        <n v="-0.66"/>
      </sharedItems>
    </cacheField>
  </cacheFields>
  <extLst>
    <ext xmlns:x14="http://schemas.microsoft.com/office/spreadsheetml/2009/9/main" uri="{725AE2AE-9491-48be-B2B4-4EB974FC3084}">
      <x14:pivotCacheDefinition pivotCacheId="1243174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m/>
    <x v="0"/>
    <m/>
    <n v="0.04"/>
    <n v="3.89"/>
    <n v="0.04"/>
    <n v="6.37"/>
    <m/>
    <n v="6.49"/>
    <n v="0"/>
    <n v="5.18"/>
    <n v="0.57999999999999996"/>
    <n v="5.6"/>
    <n v="3.02"/>
    <n v="4.82"/>
    <n v="1.46"/>
    <n v="0.94"/>
  </r>
  <r>
    <m/>
    <x v="1"/>
    <m/>
    <n v="0.04"/>
    <n v="-21.59"/>
    <n v="0.03"/>
    <n v="9.1199999999999992"/>
    <m/>
    <n v="6.44"/>
    <n v="0"/>
    <n v="4.93"/>
    <n v="0.45"/>
    <n v="-15.74"/>
    <n v="-18.23"/>
    <n v="-16.579999999999998"/>
    <n v="0"/>
    <n v="0"/>
  </r>
  <r>
    <m/>
    <x v="2"/>
    <m/>
    <n v="0.04"/>
    <n v="-59.57"/>
    <n v="0.03"/>
    <n v="11.8"/>
    <m/>
    <n v="5.35"/>
    <n v="0"/>
    <n v="5.34"/>
    <n v="0.37"/>
    <n v="-54.52"/>
    <n v="-57.52"/>
    <n v="-55.48"/>
    <n v="0"/>
    <n v="0"/>
  </r>
  <r>
    <m/>
    <x v="3"/>
    <m/>
    <n v="7.0000000000000007E-2"/>
    <n v="-13.58"/>
    <n v="0.06"/>
    <n v="7.44"/>
    <m/>
    <n v="4.24"/>
    <n v="0"/>
    <n v="5.04"/>
    <n v="0.51"/>
    <n v="-13.2"/>
    <n v="-17.87"/>
    <n v="-14.51"/>
    <n v="0"/>
    <n v="0"/>
  </r>
  <r>
    <m/>
    <x v="4"/>
    <m/>
    <n v="0.11"/>
    <n v="-29.42"/>
    <n v="0.09"/>
    <n v="4.42"/>
    <m/>
    <n v="4.26"/>
    <n v="0"/>
    <n v="4.9800000000000004"/>
    <n v="0.78"/>
    <n v="-39.840000000000003"/>
    <n v="-45.97"/>
    <n v="-41.4"/>
    <n v="0"/>
    <n v="0"/>
  </r>
  <r>
    <m/>
    <x v="5"/>
    <m/>
    <n v="0.18"/>
    <n v="-48.04"/>
    <n v="0.13"/>
    <n v="2.21"/>
    <m/>
    <n v="3.16"/>
    <n v="0"/>
    <n v="3.75"/>
    <n v="0.84"/>
    <n v="-67.8"/>
    <n v="-73.98"/>
    <n v="-69.34"/>
    <n v="0"/>
    <n v="0"/>
  </r>
  <r>
    <m/>
    <x v="6"/>
    <m/>
    <n v="0"/>
    <n v="-706.27"/>
    <n v="0"/>
    <n v="1.99"/>
    <m/>
    <n v="15.58"/>
    <n v="0"/>
    <n v="3.48"/>
    <n v="0.42"/>
    <n v="-14.7"/>
    <n v="-16.920000000000002"/>
    <n v="-14.73"/>
    <n v="0"/>
    <n v="0"/>
  </r>
  <r>
    <m/>
    <x v="7"/>
    <m/>
    <n v="0"/>
    <n v="-12563.01"/>
    <n v="0"/>
    <n v="2.97"/>
    <m/>
    <n v="6.83"/>
    <n v="0"/>
    <n v="2.82"/>
    <n v="0.45"/>
    <n v="-135.80000000000001"/>
    <n v="-139.53"/>
    <n v="-135.81"/>
    <n v="0"/>
    <n v="0"/>
  </r>
  <r>
    <m/>
    <x v="8"/>
    <m/>
    <n v="0"/>
    <n v="-6376"/>
    <n v="0"/>
    <n v="3.75"/>
    <m/>
    <n v="7.52"/>
    <n v="0"/>
    <n v="3.04"/>
    <n v="0.78"/>
    <n v="-79.66"/>
    <n v="-82.2"/>
    <n v="-79.67"/>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x v="0"/>
    <x v="0"/>
    <x v="0"/>
    <x v="0"/>
    <x v="0"/>
    <x v="0"/>
    <x v="0"/>
  </r>
  <r>
    <x v="1"/>
    <x v="1"/>
    <x v="1"/>
    <x v="1"/>
    <x v="1"/>
    <x v="0"/>
    <x v="0"/>
    <x v="1"/>
    <x v="0"/>
    <x v="0"/>
  </r>
  <r>
    <x v="2"/>
    <x v="2"/>
    <x v="2"/>
    <x v="2"/>
    <x v="2"/>
    <x v="1"/>
    <x v="1"/>
    <x v="2"/>
    <x v="1"/>
    <x v="1"/>
  </r>
  <r>
    <x v="3"/>
    <x v="3"/>
    <x v="3"/>
    <x v="3"/>
    <x v="3"/>
    <x v="2"/>
    <x v="2"/>
    <x v="3"/>
    <x v="2"/>
    <x v="2"/>
  </r>
  <r>
    <x v="4"/>
    <x v="0"/>
    <x v="4"/>
    <x v="4"/>
    <x v="4"/>
    <x v="3"/>
    <x v="3"/>
    <x v="4"/>
    <x v="3"/>
    <x v="3"/>
  </r>
  <r>
    <x v="5"/>
    <x v="4"/>
    <x v="5"/>
    <x v="5"/>
    <x v="5"/>
    <x v="4"/>
    <x v="4"/>
    <x v="5"/>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DD332E-9CDE-4D19-9DEB-5A81865B4B2F}" name="PivotTable21" cacheId="28"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J10" firstHeaderRow="0" firstDataRow="1" firstDataCol="1"/>
  <pivotFields count="10">
    <pivotField axis="axisRow" showAll="0">
      <items count="7">
        <item x="4"/>
        <item x="2"/>
        <item x="0"/>
        <item x="1"/>
        <item x="5"/>
        <item x="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7">
    <i>
      <x/>
    </i>
    <i>
      <x v="1"/>
    </i>
    <i>
      <x v="2"/>
    </i>
    <i>
      <x v="3"/>
    </i>
    <i>
      <x v="4"/>
    </i>
    <i>
      <x v="5"/>
    </i>
    <i t="grand">
      <x/>
    </i>
  </rowItems>
  <colFields count="1">
    <field x="-2"/>
  </colFields>
  <colItems count="9">
    <i>
      <x/>
    </i>
    <i i="1">
      <x v="1"/>
    </i>
    <i i="2">
      <x v="2"/>
    </i>
    <i i="3">
      <x v="3"/>
    </i>
    <i i="4">
      <x v="4"/>
    </i>
    <i i="5">
      <x v="5"/>
    </i>
    <i i="6">
      <x v="6"/>
    </i>
    <i i="7">
      <x v="7"/>
    </i>
    <i i="8">
      <x v="8"/>
    </i>
  </colItems>
  <dataFields count="9">
    <dataField name="Sum of 2024" fld="1" baseField="0" baseItem="0"/>
    <dataField name="Sum of 2023" fld="2" baseField="0" baseItem="0"/>
    <dataField name="Sum of 2022" fld="3" baseField="0" baseItem="0"/>
    <dataField name="Sum of 2021" fld="4" baseField="0" baseItem="0"/>
    <dataField name="Sum of 2020" fld="5" baseField="0" baseItem="0"/>
    <dataField name="Sum of 2019" fld="6" baseField="0" baseItem="0"/>
    <dataField name="Sum of 2018" fld="7" baseField="0" baseItem="0"/>
    <dataField name="Sum of 2015" fld="9" baseField="0" baseItem="0"/>
    <dataField name="Sum of 2016" fld="8" baseField="0" baseItem="0"/>
  </dataFields>
  <formats count="12">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9">
            <x v="0"/>
            <x v="1"/>
            <x v="2"/>
            <x v="3"/>
            <x v="4"/>
            <x v="5"/>
            <x v="6"/>
            <x v="7"/>
            <x v="8"/>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9">
            <x v="0"/>
            <x v="1"/>
            <x v="2"/>
            <x v="3"/>
            <x v="4"/>
            <x v="5"/>
            <x v="6"/>
            <x v="7"/>
            <x v="8"/>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8" series="1">
      <pivotArea type="data" outline="0" fieldPosition="0">
        <references count="1">
          <reference field="4294967294" count="1" selected="0">
            <x v="7"/>
          </reference>
        </references>
      </pivotArea>
    </chartFormat>
    <chartFormat chart="0" format="9" series="1">
      <pivotArea type="data" outline="0" fieldPosition="0">
        <references count="1">
          <reference field="4294967294" count="1" selected="0">
            <x v="8"/>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2" format="6" series="1">
      <pivotArea type="data" outline="0" fieldPosition="0">
        <references count="1">
          <reference field="4294967294" count="1" selected="0">
            <x v="6"/>
          </reference>
        </references>
      </pivotArea>
    </chartFormat>
    <chartFormat chart="2" format="7" series="1">
      <pivotArea type="data" outline="0" fieldPosition="0">
        <references count="1">
          <reference field="4294967294" count="1" selected="0">
            <x v="7"/>
          </reference>
        </references>
      </pivotArea>
    </chartFormat>
    <chartFormat chart="2" format="8" series="1">
      <pivotArea type="data" outline="0" fieldPosition="0">
        <references count="1">
          <reference field="429496729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35FB1D-8D87-47AE-84F9-8F272C8F7CDD}"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3" firstHeaderRow="0" firstDataRow="1" firstDataCol="1"/>
  <pivotFields count="17">
    <pivotField showAll="0"/>
    <pivotField axis="axisRow" showAll="0">
      <items count="10">
        <item n="2015" x="8"/>
        <item n="2016" x="7"/>
        <item n="2018" x="6"/>
        <item n="2019" x="5"/>
        <item n="2020" x="4"/>
        <item n="2021" x="3"/>
        <item n="2022" x="2"/>
        <item n="2023" x="1"/>
        <item n="2024" x="0"/>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3">
    <i>
      <x/>
    </i>
    <i i="1">
      <x v="1"/>
    </i>
    <i i="2">
      <x v="2"/>
    </i>
  </colItems>
  <dataFields count="3">
    <dataField name="Sum of Interest Cover Ratio" fld="4" baseField="0" baseItem="0"/>
    <dataField name="Sum of Long Term Debt-Equity Ratio" fld="5" baseField="0" baseItem="0"/>
    <dataField name="Sum of Debt-Equity Ratio" fld="3" baseField="0" baseItem="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7" format="134" series="1">
      <pivotArea type="data" outline="0" fieldPosition="0">
        <references count="1">
          <reference field="4294967294" count="1" selected="0">
            <x v="0"/>
          </reference>
        </references>
      </pivotArea>
    </chartFormat>
    <chartFormat chart="7" format="144" series="1">
      <pivotArea type="data" outline="0" fieldPosition="0">
        <references count="1">
          <reference field="4294967294" count="1" selected="0">
            <x v="1"/>
          </reference>
        </references>
      </pivotArea>
    </chartFormat>
    <chartFormat chart="7" format="15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0DFB26-F57F-4CB2-9C42-A49F74014949}"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3" firstHeaderRow="1" firstDataRow="1" firstDataCol="1"/>
  <pivotFields count="17">
    <pivotField showAll="0"/>
    <pivotField axis="axisRow" showAll="0">
      <items count="10">
        <item n="2015" x="8"/>
        <item n="2016" x="7"/>
        <item n="2018" x="6"/>
        <item n="2019" x="5"/>
        <item n="2020" x="4"/>
        <item n="2021" x="3"/>
        <item n="2022" x="2"/>
        <item n="2023" x="1"/>
        <item n="2024"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Current Ratio" fld="6" baseField="0" baseItem="0"/>
  </dataFields>
  <chartFormats count="12">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1" count="1" selected="0">
            <x v="0"/>
          </reference>
        </references>
      </pivotArea>
    </chartFormat>
    <chartFormat chart="13" format="13">
      <pivotArea type="data" outline="0" fieldPosition="0">
        <references count="2">
          <reference field="4294967294" count="1" selected="0">
            <x v="0"/>
          </reference>
          <reference field="1" count="1" selected="0">
            <x v="1"/>
          </reference>
        </references>
      </pivotArea>
    </chartFormat>
    <chartFormat chart="13" format="14">
      <pivotArea type="data" outline="0" fieldPosition="0">
        <references count="2">
          <reference field="4294967294" count="1" selected="0">
            <x v="0"/>
          </reference>
          <reference field="1" count="1" selected="0">
            <x v="2"/>
          </reference>
        </references>
      </pivotArea>
    </chartFormat>
    <chartFormat chart="13" format="15">
      <pivotArea type="data" outline="0" fieldPosition="0">
        <references count="2">
          <reference field="4294967294" count="1" selected="0">
            <x v="0"/>
          </reference>
          <reference field="1" count="1" selected="0">
            <x v="3"/>
          </reference>
        </references>
      </pivotArea>
    </chartFormat>
    <chartFormat chart="13" format="16">
      <pivotArea type="data" outline="0" fieldPosition="0">
        <references count="2">
          <reference field="4294967294" count="1" selected="0">
            <x v="0"/>
          </reference>
          <reference field="1" count="1" selected="0">
            <x v="4"/>
          </reference>
        </references>
      </pivotArea>
    </chartFormat>
    <chartFormat chart="13" format="17">
      <pivotArea type="data" outline="0" fieldPosition="0">
        <references count="2">
          <reference field="4294967294" count="1" selected="0">
            <x v="0"/>
          </reference>
          <reference field="1" count="1" selected="0">
            <x v="5"/>
          </reference>
        </references>
      </pivotArea>
    </chartFormat>
    <chartFormat chart="13" format="18">
      <pivotArea type="data" outline="0" fieldPosition="0">
        <references count="2">
          <reference field="4294967294" count="1" selected="0">
            <x v="0"/>
          </reference>
          <reference field="1" count="1" selected="0">
            <x v="6"/>
          </reference>
        </references>
      </pivotArea>
    </chartFormat>
    <chartFormat chart="13" format="19">
      <pivotArea type="data" outline="0" fieldPosition="0">
        <references count="2">
          <reference field="4294967294" count="1" selected="0">
            <x v="0"/>
          </reference>
          <reference field="1" count="1" selected="0">
            <x v="7"/>
          </reference>
        </references>
      </pivotArea>
    </chartFormat>
    <chartFormat chart="13" format="20">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3CAF01-8117-4B43-84DB-43AED0BDF61D}"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3" firstHeaderRow="0" firstDataRow="1" firstDataCol="1"/>
  <pivotFields count="17">
    <pivotField showAll="0"/>
    <pivotField axis="axisRow" showAll="0">
      <items count="10">
        <item n="2015" x="8"/>
        <item n="2016" x="7"/>
        <item n="2018" x="6"/>
        <item n="2019" x="5"/>
        <item n="2020" x="4"/>
        <item n="2021" x="3"/>
        <item n="2022" x="2"/>
        <item n="2023" x="1"/>
        <item n="2024" x="0"/>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3">
    <i>
      <x/>
    </i>
    <i i="1">
      <x v="1"/>
    </i>
    <i i="2">
      <x v="2"/>
    </i>
  </colItems>
  <dataFields count="3">
    <dataField name="Sum of Debtors Turnover Ratio" fld="10" baseField="0" baseItem="0"/>
    <dataField name="Sum of Inventory Turnover Ratio" fld="9" baseField="0" baseItem="0"/>
    <dataField name="Sum of Fixed Assets Turnover Ratio" fld="8"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68EA0B-F092-4003-97B7-96E96459D7D1}"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G13" firstHeaderRow="0" firstDataRow="1" firstDataCol="1"/>
  <pivotFields count="17">
    <pivotField showAll="0"/>
    <pivotField axis="axisRow" showAll="0">
      <items count="10">
        <item n="2015" x="8"/>
        <item n="2016" x="7"/>
        <item n="2018" x="6"/>
        <item n="2019" x="5"/>
        <item n="2020" x="4"/>
        <item n="2021" x="3"/>
        <item n="2022" x="2"/>
        <item n="2023" x="1"/>
        <item n="2024" x="0"/>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s>
  <rowFields count="1">
    <field x="1"/>
  </rowFields>
  <rowItems count="10">
    <i>
      <x/>
    </i>
    <i>
      <x v="1"/>
    </i>
    <i>
      <x v="2"/>
    </i>
    <i>
      <x v="3"/>
    </i>
    <i>
      <x v="4"/>
    </i>
    <i>
      <x v="5"/>
    </i>
    <i>
      <x v="6"/>
    </i>
    <i>
      <x v="7"/>
    </i>
    <i>
      <x v="8"/>
    </i>
    <i t="grand">
      <x/>
    </i>
  </rowItems>
  <colFields count="1">
    <field x="-2"/>
  </colFields>
  <colItems count="6">
    <i>
      <x/>
    </i>
    <i i="1">
      <x v="1"/>
    </i>
    <i i="2">
      <x v="2"/>
    </i>
    <i i="3">
      <x v="3"/>
    </i>
    <i i="4">
      <x v="4"/>
    </i>
    <i i="5">
      <x v="5"/>
    </i>
  </colItems>
  <dataFields count="6">
    <dataField name="Sum of Total Asset Turnover Ratio" fld="11" baseField="0" baseItem="0"/>
    <dataField name="Sum of RONW (%)" fld="16" baseField="0" baseItem="0"/>
    <dataField name="Sum of ROCE (%)" fld="15" baseField="0" baseItem="0"/>
    <dataField name="Sum of PBDTM (%)" fld="14" baseField="0" baseItem="0"/>
    <dataField name="Sum of PBITM (%)" fld="13" baseField="0" baseItem="0"/>
    <dataField name="Sum of PBIDTM (%)" fld="12"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2"/>
          </reference>
        </references>
      </pivotArea>
    </chartFormat>
    <chartFormat chart="11" format="15" series="1">
      <pivotArea type="data" outline="0" fieldPosition="0">
        <references count="1">
          <reference field="4294967294" count="1" selected="0">
            <x v="3"/>
          </reference>
        </references>
      </pivotArea>
    </chartFormat>
    <chartFormat chart="11" format="16" series="1">
      <pivotArea type="data" outline="0" fieldPosition="0">
        <references count="1">
          <reference field="4294967294" count="1" selected="0">
            <x v="4"/>
          </reference>
        </references>
      </pivotArea>
    </chartFormat>
    <chartFormat chart="11"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69892C9-1210-4EDF-AE73-021E2B87AFC9}" sourceName="Year">
  <pivotTables>
    <pivotTable tabId="3" name="PivotTable1"/>
    <pivotTable tabId="6" name="PivotTable3"/>
    <pivotTable tabId="5" name="PivotTable2"/>
    <pivotTable tabId="7" name="PivotTable4"/>
  </pivotTables>
  <data>
    <tabular pivotCacheId="1682298167">
      <items count="9">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D8FABDA-4991-4B5F-8059-5559FEA1865A}" sourceName="Year">
  <pivotTables>
    <pivotTable tabId="16" name="PivotTable21"/>
  </pivotTables>
  <data>
    <tabular pivotCacheId="1243174552">
      <items count="6">
        <i x="4" s="1"/>
        <i x="2" s="1"/>
        <i x="0" s="1"/>
        <i x="1"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10D772E3-0E8C-4694-B8B0-B35DE109EBC7}"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80AB6650-9679-4972-B096-A3ABCEB1110D}" cache="Slicer_Year"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1247B3C-2BA5-4F13-A090-A287DEE6988C}" cache="Slicer_Year" caption="Year" startItem="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09D51B5-59B8-4A81-9DA0-A52CA0041529}" cache="Slicer_Year" caption="Year"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3C3FDA83-BB00-4079-8F05-7DB62F17F489}" cache="Slicer_Year" caption="Year"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CA4500BA-40F6-4873-A661-40A69F2B5FE4}" cache="Slicer_Year" caption="Year" rowHeight="24130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5B5E-ECB0-4EF9-8C74-5D11685DA0D7}">
  <dimension ref="C1:S15"/>
  <sheetViews>
    <sheetView showGridLines="0" topLeftCell="C1" workbookViewId="0">
      <selection activeCell="H1" sqref="H1:M2"/>
    </sheetView>
  </sheetViews>
  <sheetFormatPr defaultRowHeight="14.5" x14ac:dyDescent="0.35"/>
  <sheetData>
    <row r="1" spans="3:19" x14ac:dyDescent="0.35">
      <c r="H1" s="57" t="s">
        <v>66</v>
      </c>
      <c r="I1" s="11"/>
      <c r="J1" s="11"/>
      <c r="K1" s="11"/>
      <c r="L1" s="11"/>
      <c r="M1" s="11"/>
    </row>
    <row r="2" spans="3:19" x14ac:dyDescent="0.35">
      <c r="H2" s="11"/>
      <c r="I2" s="11"/>
      <c r="J2" s="11"/>
      <c r="K2" s="11"/>
      <c r="L2" s="11"/>
      <c r="M2" s="11"/>
    </row>
    <row r="4" spans="3:19" ht="15" thickBot="1" x14ac:dyDescent="0.4"/>
    <row r="5" spans="3:19" x14ac:dyDescent="0.35">
      <c r="C5" s="32"/>
      <c r="D5" s="33"/>
      <c r="E5" s="34"/>
      <c r="F5" s="35" t="s">
        <v>3</v>
      </c>
      <c r="G5" s="35"/>
      <c r="H5" s="35"/>
      <c r="I5" s="36" t="s">
        <v>20</v>
      </c>
      <c r="J5" s="37" t="s">
        <v>19</v>
      </c>
      <c r="K5" s="37"/>
      <c r="L5" s="37"/>
      <c r="M5" s="38"/>
      <c r="N5" s="39" t="s">
        <v>13</v>
      </c>
      <c r="O5" s="40"/>
      <c r="P5" s="40"/>
      <c r="Q5" s="40"/>
      <c r="R5" s="40"/>
      <c r="S5" s="41"/>
    </row>
    <row r="6" spans="3:19" ht="67.5" x14ac:dyDescent="0.35">
      <c r="C6" s="42" t="s">
        <v>0</v>
      </c>
      <c r="D6" s="1" t="s">
        <v>1</v>
      </c>
      <c r="E6" s="3" t="s">
        <v>2</v>
      </c>
      <c r="F6" s="5" t="s">
        <v>4</v>
      </c>
      <c r="G6" s="5" t="s">
        <v>12</v>
      </c>
      <c r="H6" s="5" t="s">
        <v>5</v>
      </c>
      <c r="I6" s="3" t="s">
        <v>6</v>
      </c>
      <c r="J6" s="5" t="s">
        <v>7</v>
      </c>
      <c r="K6" s="5" t="s">
        <v>8</v>
      </c>
      <c r="L6" s="5" t="s">
        <v>9</v>
      </c>
      <c r="M6" s="5" t="s">
        <v>10</v>
      </c>
      <c r="N6" s="5" t="s">
        <v>11</v>
      </c>
      <c r="O6" s="5" t="s">
        <v>14</v>
      </c>
      <c r="P6" s="5" t="s">
        <v>15</v>
      </c>
      <c r="Q6" s="5" t="s">
        <v>16</v>
      </c>
      <c r="R6" s="5" t="s">
        <v>17</v>
      </c>
      <c r="S6" s="43" t="s">
        <v>18</v>
      </c>
    </row>
    <row r="7" spans="3:19" x14ac:dyDescent="0.35">
      <c r="C7" s="42"/>
      <c r="D7" s="2">
        <v>2024</v>
      </c>
      <c r="E7" s="4"/>
      <c r="F7" s="5">
        <v>0.04</v>
      </c>
      <c r="G7" s="5">
        <v>3.89</v>
      </c>
      <c r="H7" s="5">
        <v>0.04</v>
      </c>
      <c r="I7" s="5">
        <v>6.37</v>
      </c>
      <c r="J7" s="4"/>
      <c r="K7" s="5">
        <v>6.49</v>
      </c>
      <c r="L7" s="5">
        <v>0</v>
      </c>
      <c r="M7" s="5">
        <v>5.18</v>
      </c>
      <c r="N7" s="5">
        <v>0.57999999999999996</v>
      </c>
      <c r="O7" s="5">
        <v>5.6</v>
      </c>
      <c r="P7" s="5">
        <v>3.02</v>
      </c>
      <c r="Q7" s="5">
        <v>4.82</v>
      </c>
      <c r="R7" s="5">
        <v>1.46</v>
      </c>
      <c r="S7" s="43">
        <v>0.94</v>
      </c>
    </row>
    <row r="8" spans="3:19" x14ac:dyDescent="0.35">
      <c r="C8" s="42"/>
      <c r="D8" s="2">
        <v>2023</v>
      </c>
      <c r="E8" s="4"/>
      <c r="F8" s="5">
        <v>0.04</v>
      </c>
      <c r="G8" s="5">
        <v>-21.59</v>
      </c>
      <c r="H8" s="5">
        <v>0.03</v>
      </c>
      <c r="I8" s="5">
        <v>9.1199999999999992</v>
      </c>
      <c r="J8" s="4"/>
      <c r="K8" s="5">
        <v>6.44</v>
      </c>
      <c r="L8" s="5">
        <v>0</v>
      </c>
      <c r="M8" s="5">
        <v>4.93</v>
      </c>
      <c r="N8" s="5">
        <v>0.45</v>
      </c>
      <c r="O8" s="5">
        <v>-15.74</v>
      </c>
      <c r="P8" s="5">
        <v>-18.23</v>
      </c>
      <c r="Q8" s="5">
        <v>-16.579999999999998</v>
      </c>
      <c r="R8" s="5">
        <v>0</v>
      </c>
      <c r="S8" s="43">
        <v>0</v>
      </c>
    </row>
    <row r="9" spans="3:19" x14ac:dyDescent="0.35">
      <c r="C9" s="42"/>
      <c r="D9" s="2">
        <v>2022</v>
      </c>
      <c r="E9" s="4"/>
      <c r="F9" s="5">
        <v>0.04</v>
      </c>
      <c r="G9" s="5">
        <v>-59.57</v>
      </c>
      <c r="H9" s="5">
        <v>0.03</v>
      </c>
      <c r="I9" s="5">
        <v>11.8</v>
      </c>
      <c r="J9" s="4"/>
      <c r="K9" s="5">
        <v>5.35</v>
      </c>
      <c r="L9" s="5">
        <v>0</v>
      </c>
      <c r="M9" s="5">
        <v>5.34</v>
      </c>
      <c r="N9" s="5">
        <v>0.37</v>
      </c>
      <c r="O9" s="5">
        <v>-54.52</v>
      </c>
      <c r="P9" s="5">
        <v>-57.52</v>
      </c>
      <c r="Q9" s="5">
        <v>-55.48</v>
      </c>
      <c r="R9" s="5">
        <v>0</v>
      </c>
      <c r="S9" s="43">
        <v>0</v>
      </c>
    </row>
    <row r="10" spans="3:19" x14ac:dyDescent="0.35">
      <c r="C10" s="42"/>
      <c r="D10" s="2">
        <v>2021</v>
      </c>
      <c r="E10" s="4"/>
      <c r="F10" s="5">
        <v>7.0000000000000007E-2</v>
      </c>
      <c r="G10" s="5">
        <v>-13.58</v>
      </c>
      <c r="H10" s="5">
        <v>0.06</v>
      </c>
      <c r="I10" s="5">
        <v>7.44</v>
      </c>
      <c r="J10" s="4"/>
      <c r="K10" s="5">
        <v>4.24</v>
      </c>
      <c r="L10" s="5">
        <v>0</v>
      </c>
      <c r="M10" s="5">
        <v>5.04</v>
      </c>
      <c r="N10" s="5">
        <v>0.51</v>
      </c>
      <c r="O10" s="5">
        <v>-13.2</v>
      </c>
      <c r="P10" s="5">
        <v>-17.87</v>
      </c>
      <c r="Q10" s="5">
        <v>-14.51</v>
      </c>
      <c r="R10" s="5">
        <v>0</v>
      </c>
      <c r="S10" s="43">
        <v>0</v>
      </c>
    </row>
    <row r="11" spans="3:19" x14ac:dyDescent="0.35">
      <c r="C11" s="42"/>
      <c r="D11" s="2">
        <v>2020</v>
      </c>
      <c r="E11" s="4"/>
      <c r="F11" s="5">
        <v>0.11</v>
      </c>
      <c r="G11" s="5">
        <v>-29.42</v>
      </c>
      <c r="H11" s="5">
        <v>0.09</v>
      </c>
      <c r="I11" s="5">
        <v>4.42</v>
      </c>
      <c r="J11" s="4"/>
      <c r="K11" s="5">
        <v>4.26</v>
      </c>
      <c r="L11" s="5">
        <v>0</v>
      </c>
      <c r="M11" s="5">
        <v>4.9800000000000004</v>
      </c>
      <c r="N11" s="5">
        <v>0.78</v>
      </c>
      <c r="O11" s="5">
        <v>-39.840000000000003</v>
      </c>
      <c r="P11" s="5">
        <v>-45.97</v>
      </c>
      <c r="Q11" s="5">
        <v>-41.4</v>
      </c>
      <c r="R11" s="5">
        <v>0</v>
      </c>
      <c r="S11" s="43">
        <v>0</v>
      </c>
    </row>
    <row r="12" spans="3:19" x14ac:dyDescent="0.35">
      <c r="C12" s="42"/>
      <c r="D12" s="2">
        <v>2019</v>
      </c>
      <c r="E12" s="4"/>
      <c r="F12" s="5">
        <v>0.18</v>
      </c>
      <c r="G12" s="5">
        <v>-48.04</v>
      </c>
      <c r="H12" s="5">
        <v>0.13</v>
      </c>
      <c r="I12" s="5">
        <v>2.21</v>
      </c>
      <c r="J12" s="4"/>
      <c r="K12" s="5">
        <v>3.16</v>
      </c>
      <c r="L12" s="5">
        <v>0</v>
      </c>
      <c r="M12" s="5">
        <v>3.75</v>
      </c>
      <c r="N12" s="5">
        <v>0.84</v>
      </c>
      <c r="O12" s="5">
        <v>-67.8</v>
      </c>
      <c r="P12" s="5">
        <v>-73.98</v>
      </c>
      <c r="Q12" s="5">
        <v>-69.34</v>
      </c>
      <c r="R12" s="5">
        <v>0</v>
      </c>
      <c r="S12" s="43">
        <v>0</v>
      </c>
    </row>
    <row r="13" spans="3:19" x14ac:dyDescent="0.35">
      <c r="C13" s="42"/>
      <c r="D13" s="2">
        <v>2018</v>
      </c>
      <c r="E13" s="4"/>
      <c r="F13" s="5">
        <v>0</v>
      </c>
      <c r="G13" s="5">
        <v>-706.27</v>
      </c>
      <c r="H13" s="5">
        <v>0</v>
      </c>
      <c r="I13" s="5">
        <v>1.99</v>
      </c>
      <c r="J13" s="4"/>
      <c r="K13" s="5">
        <v>15.58</v>
      </c>
      <c r="L13" s="5">
        <v>0</v>
      </c>
      <c r="M13" s="5">
        <v>3.48</v>
      </c>
      <c r="N13" s="5">
        <v>0.42</v>
      </c>
      <c r="O13" s="5">
        <v>-14.7</v>
      </c>
      <c r="P13" s="5">
        <v>-16.920000000000002</v>
      </c>
      <c r="Q13" s="5">
        <v>-14.73</v>
      </c>
      <c r="R13" s="5">
        <v>0</v>
      </c>
      <c r="S13" s="43">
        <v>0</v>
      </c>
    </row>
    <row r="14" spans="3:19" x14ac:dyDescent="0.35">
      <c r="C14" s="42"/>
      <c r="D14" s="2">
        <v>2016</v>
      </c>
      <c r="E14" s="4"/>
      <c r="F14" s="5">
        <v>0</v>
      </c>
      <c r="G14" s="6">
        <v>-12563.01</v>
      </c>
      <c r="H14" s="5">
        <v>0</v>
      </c>
      <c r="I14" s="5">
        <v>2.97</v>
      </c>
      <c r="J14" s="4"/>
      <c r="K14" s="5">
        <v>6.83</v>
      </c>
      <c r="L14" s="5">
        <v>0</v>
      </c>
      <c r="M14" s="5">
        <v>2.82</v>
      </c>
      <c r="N14" s="5">
        <v>0.45</v>
      </c>
      <c r="O14" s="5">
        <v>-135.80000000000001</v>
      </c>
      <c r="P14" s="5">
        <v>-139.53</v>
      </c>
      <c r="Q14" s="5">
        <v>-135.81</v>
      </c>
      <c r="R14" s="5">
        <v>0</v>
      </c>
      <c r="S14" s="43">
        <v>0</v>
      </c>
    </row>
    <row r="15" spans="3:19" ht="15" thickBot="1" x14ac:dyDescent="0.4">
      <c r="C15" s="44"/>
      <c r="D15" s="45">
        <v>2015</v>
      </c>
      <c r="E15" s="46"/>
      <c r="F15" s="47">
        <v>0</v>
      </c>
      <c r="G15" s="48">
        <v>-6376</v>
      </c>
      <c r="H15" s="47">
        <v>0</v>
      </c>
      <c r="I15" s="47">
        <v>3.75</v>
      </c>
      <c r="J15" s="46"/>
      <c r="K15" s="47">
        <v>7.52</v>
      </c>
      <c r="L15" s="47">
        <v>0</v>
      </c>
      <c r="M15" s="47">
        <v>3.04</v>
      </c>
      <c r="N15" s="47">
        <v>0.78</v>
      </c>
      <c r="O15" s="47">
        <v>-79.66</v>
      </c>
      <c r="P15" s="47">
        <v>-82.2</v>
      </c>
      <c r="Q15" s="47">
        <v>-79.67</v>
      </c>
      <c r="R15" s="47">
        <v>0</v>
      </c>
      <c r="S15" s="49">
        <v>0</v>
      </c>
    </row>
  </sheetData>
  <mergeCells count="5">
    <mergeCell ref="H1:M2"/>
    <mergeCell ref="F5:H5"/>
    <mergeCell ref="C6:C15"/>
    <mergeCell ref="J5:M5"/>
    <mergeCell ref="N5:S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6EB4-01CA-4FCF-BEE0-4F6BB3DB9441}">
  <dimension ref="B1:L11"/>
  <sheetViews>
    <sheetView workbookViewId="0">
      <selection activeCell="E1" sqref="E1:I2"/>
    </sheetView>
  </sheetViews>
  <sheetFormatPr defaultRowHeight="14.5" x14ac:dyDescent="0.35"/>
  <sheetData>
    <row r="1" spans="2:12" x14ac:dyDescent="0.35">
      <c r="E1" s="57" t="s">
        <v>66</v>
      </c>
      <c r="F1" s="11"/>
      <c r="G1" s="11"/>
      <c r="H1" s="11"/>
      <c r="I1" s="11"/>
    </row>
    <row r="2" spans="2:12" x14ac:dyDescent="0.35">
      <c r="E2" s="11"/>
      <c r="F2" s="11"/>
      <c r="G2" s="11"/>
      <c r="H2" s="11"/>
      <c r="I2" s="11"/>
    </row>
    <row r="3" spans="2:12" ht="15" thickBot="1" x14ac:dyDescent="0.4"/>
    <row r="4" spans="2:12" ht="14.5" customHeight="1" x14ac:dyDescent="0.35">
      <c r="B4" s="50" t="s">
        <v>36</v>
      </c>
      <c r="C4" s="51"/>
      <c r="D4" s="51"/>
      <c r="E4" s="51"/>
      <c r="F4" s="51"/>
      <c r="G4" s="51"/>
      <c r="H4" s="51"/>
      <c r="I4" s="51"/>
      <c r="J4" s="51"/>
      <c r="K4" s="51"/>
      <c r="L4" s="52"/>
    </row>
    <row r="5" spans="2:12" x14ac:dyDescent="0.35">
      <c r="B5" s="53"/>
      <c r="C5" s="1" t="s">
        <v>1</v>
      </c>
      <c r="D5" s="2">
        <v>2024</v>
      </c>
      <c r="E5" s="2">
        <v>2023</v>
      </c>
      <c r="F5" s="2">
        <v>2022</v>
      </c>
      <c r="G5" s="2">
        <v>2021</v>
      </c>
      <c r="H5" s="2">
        <v>2020</v>
      </c>
      <c r="I5" s="2">
        <v>2019</v>
      </c>
      <c r="J5" s="2">
        <v>2018</v>
      </c>
      <c r="K5" s="2">
        <v>2016</v>
      </c>
      <c r="L5" s="54">
        <v>2015</v>
      </c>
    </row>
    <row r="6" spans="2:12" ht="27" x14ac:dyDescent="0.35">
      <c r="B6" s="53"/>
      <c r="C6" s="3" t="s">
        <v>37</v>
      </c>
      <c r="D6" s="5">
        <v>0.87</v>
      </c>
      <c r="E6" s="5">
        <v>1</v>
      </c>
      <c r="F6" s="5">
        <v>1</v>
      </c>
      <c r="G6" s="5">
        <v>1.05</v>
      </c>
      <c r="H6" s="5">
        <v>1.03</v>
      </c>
      <c r="I6" s="5">
        <v>1.02</v>
      </c>
      <c r="J6" s="5">
        <v>1.45</v>
      </c>
      <c r="K6" s="5">
        <v>1</v>
      </c>
      <c r="L6" s="43">
        <v>1</v>
      </c>
    </row>
    <row r="7" spans="2:12" ht="27" x14ac:dyDescent="0.35">
      <c r="B7" s="53"/>
      <c r="C7" s="3" t="s">
        <v>38</v>
      </c>
      <c r="D7" s="5">
        <v>0.74</v>
      </c>
      <c r="E7" s="5">
        <v>1.05</v>
      </c>
      <c r="F7" s="5">
        <v>1.02</v>
      </c>
      <c r="G7" s="5">
        <v>1.07</v>
      </c>
      <c r="H7" s="5">
        <v>1.03</v>
      </c>
      <c r="I7" s="5">
        <v>1.02</v>
      </c>
      <c r="J7" s="5">
        <v>1</v>
      </c>
      <c r="K7" s="5">
        <v>1</v>
      </c>
      <c r="L7" s="43">
        <v>1</v>
      </c>
    </row>
    <row r="8" spans="2:12" ht="27" x14ac:dyDescent="0.35">
      <c r="B8" s="53"/>
      <c r="C8" s="3" t="s">
        <v>39</v>
      </c>
      <c r="D8" s="5">
        <v>0.03</v>
      </c>
      <c r="E8" s="5">
        <v>-0.18</v>
      </c>
      <c r="F8" s="5">
        <v>-0.57999999999999996</v>
      </c>
      <c r="G8" s="5">
        <v>-0.18</v>
      </c>
      <c r="H8" s="5">
        <v>-0.46</v>
      </c>
      <c r="I8" s="5">
        <v>-0.74</v>
      </c>
      <c r="J8" s="5">
        <v>-0.17</v>
      </c>
      <c r="K8" s="5">
        <v>-1.4</v>
      </c>
      <c r="L8" s="43">
        <v>-0.82</v>
      </c>
    </row>
    <row r="9" spans="2:12" ht="27" x14ac:dyDescent="0.35">
      <c r="B9" s="53"/>
      <c r="C9" s="3" t="s">
        <v>40</v>
      </c>
      <c r="D9" s="5">
        <v>0.57999999999999996</v>
      </c>
      <c r="E9" s="5">
        <v>0.45</v>
      </c>
      <c r="F9" s="5">
        <v>0.37</v>
      </c>
      <c r="G9" s="5">
        <v>0.51</v>
      </c>
      <c r="H9" s="5">
        <v>0.78</v>
      </c>
      <c r="I9" s="5">
        <v>0.84</v>
      </c>
      <c r="J9" s="5">
        <v>0.42</v>
      </c>
      <c r="K9" s="5">
        <v>0.45</v>
      </c>
      <c r="L9" s="43">
        <v>0.78</v>
      </c>
    </row>
    <row r="10" spans="2:12" ht="27" x14ac:dyDescent="0.35">
      <c r="B10" s="53"/>
      <c r="C10" s="3" t="s">
        <v>41</v>
      </c>
      <c r="D10" s="5">
        <v>0.87</v>
      </c>
      <c r="E10" s="5">
        <v>1.04</v>
      </c>
      <c r="F10" s="5">
        <v>1.04</v>
      </c>
      <c r="G10" s="5">
        <v>1.08</v>
      </c>
      <c r="H10" s="5">
        <v>1.1299999999999999</v>
      </c>
      <c r="I10" s="5">
        <v>1.2</v>
      </c>
      <c r="J10" s="5">
        <v>1.01</v>
      </c>
      <c r="K10" s="5">
        <v>1.02</v>
      </c>
      <c r="L10" s="43">
        <v>1.03</v>
      </c>
    </row>
    <row r="11" spans="2:12" ht="15" thickBot="1" x14ac:dyDescent="0.4">
      <c r="B11" s="55"/>
      <c r="C11" s="56" t="s">
        <v>42</v>
      </c>
      <c r="D11" s="47">
        <v>0.01</v>
      </c>
      <c r="E11" s="47">
        <v>-0.09</v>
      </c>
      <c r="F11" s="47">
        <v>-0.23</v>
      </c>
      <c r="G11" s="47">
        <v>-0.11</v>
      </c>
      <c r="H11" s="47">
        <v>-0.43</v>
      </c>
      <c r="I11" s="47">
        <v>-0.78</v>
      </c>
      <c r="J11" s="47">
        <v>-0.1</v>
      </c>
      <c r="K11" s="47">
        <v>-0.63</v>
      </c>
      <c r="L11" s="49">
        <v>-0.66</v>
      </c>
    </row>
  </sheetData>
  <mergeCells count="2">
    <mergeCell ref="B4:L4"/>
    <mergeCell ref="E1: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E8643-FA0F-4B88-8CAA-A4991F6FC368}">
  <dimension ref="A1:AG33"/>
  <sheetViews>
    <sheetView showGridLines="0" zoomScale="76" zoomScaleNormal="76" workbookViewId="0">
      <selection activeCell="J24" sqref="J24"/>
    </sheetView>
  </sheetViews>
  <sheetFormatPr defaultRowHeight="14.5" x14ac:dyDescent="0.35"/>
  <cols>
    <col min="1" max="1" width="16.75" bestFit="1" customWidth="1"/>
    <col min="2" max="10" width="11.9140625" bestFit="1" customWidth="1"/>
  </cols>
  <sheetData>
    <row r="1" spans="1:33" x14ac:dyDescent="0.35">
      <c r="A1" s="12"/>
      <c r="B1" s="12"/>
      <c r="C1" s="10" t="s">
        <v>43</v>
      </c>
      <c r="D1" s="11"/>
      <c r="E1" s="11"/>
      <c r="F1" s="11"/>
      <c r="G1" s="11"/>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ht="15" thickBot="1" x14ac:dyDescent="0.4">
      <c r="A2" s="12"/>
      <c r="B2" s="12"/>
      <c r="C2" s="11"/>
      <c r="D2" s="11"/>
      <c r="E2" s="11"/>
      <c r="F2" s="11"/>
      <c r="G2" s="11"/>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5" thickBot="1" x14ac:dyDescent="0.4">
      <c r="A3" s="21" t="s">
        <v>21</v>
      </c>
      <c r="B3" s="23" t="s">
        <v>44</v>
      </c>
      <c r="C3" s="24" t="s">
        <v>45</v>
      </c>
      <c r="D3" s="24" t="s">
        <v>46</v>
      </c>
      <c r="E3" s="24" t="s">
        <v>47</v>
      </c>
      <c r="F3" s="24" t="s">
        <v>48</v>
      </c>
      <c r="G3" s="24" t="s">
        <v>49</v>
      </c>
      <c r="H3" s="24" t="s">
        <v>50</v>
      </c>
      <c r="I3" s="24" t="s">
        <v>52</v>
      </c>
      <c r="J3" s="25" t="s">
        <v>51</v>
      </c>
      <c r="K3" s="12"/>
      <c r="L3" s="12"/>
      <c r="M3" s="12"/>
      <c r="N3" s="12"/>
      <c r="O3" s="12"/>
      <c r="P3" s="12"/>
      <c r="Q3" s="12"/>
      <c r="R3" s="12"/>
      <c r="S3" s="12"/>
      <c r="T3" s="12"/>
      <c r="U3" s="12"/>
      <c r="V3" s="12"/>
      <c r="W3" s="12"/>
      <c r="X3" s="12"/>
      <c r="Y3" s="12"/>
      <c r="Z3" s="12"/>
      <c r="AA3" s="12"/>
      <c r="AB3" s="12"/>
      <c r="AC3" s="12"/>
      <c r="AD3" s="12"/>
      <c r="AE3" s="12"/>
      <c r="AF3" s="12"/>
      <c r="AG3" s="12"/>
    </row>
    <row r="4" spans="1:33" x14ac:dyDescent="0.35">
      <c r="A4" s="27" t="s">
        <v>41</v>
      </c>
      <c r="B4" s="17">
        <v>0.87</v>
      </c>
      <c r="C4" s="18">
        <v>1.04</v>
      </c>
      <c r="D4" s="18">
        <v>1.04</v>
      </c>
      <c r="E4" s="18">
        <v>1.08</v>
      </c>
      <c r="F4" s="18">
        <v>1.1299999999999999</v>
      </c>
      <c r="G4" s="18">
        <v>1.2</v>
      </c>
      <c r="H4" s="18">
        <v>1.01</v>
      </c>
      <c r="I4" s="18">
        <v>1.03</v>
      </c>
      <c r="J4" s="19">
        <v>1.02</v>
      </c>
      <c r="K4" s="12"/>
      <c r="L4" s="12"/>
      <c r="M4" s="12"/>
      <c r="N4" s="12"/>
      <c r="O4" s="12"/>
      <c r="P4" s="12"/>
      <c r="Q4" s="12"/>
      <c r="R4" s="12"/>
      <c r="S4" s="12"/>
      <c r="T4" s="12"/>
      <c r="U4" s="12"/>
      <c r="V4" s="12"/>
      <c r="W4" s="12"/>
      <c r="X4" s="12"/>
      <c r="Y4" s="12"/>
      <c r="Z4" s="12"/>
      <c r="AA4" s="12"/>
      <c r="AB4" s="12"/>
      <c r="AC4" s="12"/>
      <c r="AD4" s="12"/>
      <c r="AE4" s="12"/>
      <c r="AF4" s="12"/>
      <c r="AG4" s="12"/>
    </row>
    <row r="5" spans="1:33" x14ac:dyDescent="0.35">
      <c r="A5" s="28" t="s">
        <v>39</v>
      </c>
      <c r="B5" s="26">
        <v>0.03</v>
      </c>
      <c r="C5" s="13">
        <v>-0.18</v>
      </c>
      <c r="D5" s="13">
        <v>-0.57999999999999996</v>
      </c>
      <c r="E5" s="13">
        <v>-0.18</v>
      </c>
      <c r="F5" s="13">
        <v>-0.46</v>
      </c>
      <c r="G5" s="13">
        <v>-0.74</v>
      </c>
      <c r="H5" s="13">
        <v>-0.17</v>
      </c>
      <c r="I5" s="13">
        <v>-0.82</v>
      </c>
      <c r="J5" s="14">
        <v>-1.4</v>
      </c>
      <c r="K5" s="12"/>
      <c r="L5" s="12"/>
      <c r="M5" s="12"/>
      <c r="N5" s="12"/>
      <c r="O5" s="12"/>
      <c r="P5" s="12"/>
      <c r="Q5" s="12"/>
      <c r="R5" s="12"/>
      <c r="S5" s="12"/>
      <c r="T5" s="12"/>
      <c r="U5" s="12"/>
      <c r="V5" s="12"/>
      <c r="W5" s="12"/>
      <c r="X5" s="12"/>
      <c r="Y5" s="12"/>
      <c r="Z5" s="12"/>
      <c r="AA5" s="12"/>
      <c r="AB5" s="12"/>
      <c r="AC5" s="12"/>
      <c r="AD5" s="12"/>
      <c r="AE5" s="12"/>
      <c r="AF5" s="12"/>
      <c r="AG5" s="12"/>
    </row>
    <row r="6" spans="1:33" x14ac:dyDescent="0.35">
      <c r="A6" s="28" t="s">
        <v>37</v>
      </c>
      <c r="B6" s="26">
        <v>0.87</v>
      </c>
      <c r="C6" s="13">
        <v>1</v>
      </c>
      <c r="D6" s="13">
        <v>1</v>
      </c>
      <c r="E6" s="13">
        <v>1.05</v>
      </c>
      <c r="F6" s="13">
        <v>1.03</v>
      </c>
      <c r="G6" s="13">
        <v>1.02</v>
      </c>
      <c r="H6" s="13">
        <v>1.45</v>
      </c>
      <c r="I6" s="13">
        <v>1</v>
      </c>
      <c r="J6" s="14">
        <v>1</v>
      </c>
      <c r="K6" s="12"/>
      <c r="L6" s="12"/>
      <c r="M6" s="12"/>
      <c r="N6" s="12"/>
      <c r="O6" s="12"/>
      <c r="P6" s="12"/>
      <c r="Q6" s="12"/>
      <c r="R6" s="12"/>
      <c r="S6" s="12"/>
      <c r="T6" s="12"/>
      <c r="U6" s="12"/>
      <c r="V6" s="12"/>
      <c r="W6" s="12"/>
      <c r="X6" s="12"/>
      <c r="Y6" s="12"/>
      <c r="Z6" s="12"/>
      <c r="AA6" s="12"/>
      <c r="AB6" s="12"/>
      <c r="AC6" s="12"/>
      <c r="AD6" s="12"/>
      <c r="AE6" s="12"/>
      <c r="AF6" s="12"/>
      <c r="AG6" s="12"/>
    </row>
    <row r="7" spans="1:33" x14ac:dyDescent="0.35">
      <c r="A7" s="28" t="s">
        <v>38</v>
      </c>
      <c r="B7" s="26">
        <v>0.74</v>
      </c>
      <c r="C7" s="13">
        <v>1.05</v>
      </c>
      <c r="D7" s="13">
        <v>1.02</v>
      </c>
      <c r="E7" s="13">
        <v>1.07</v>
      </c>
      <c r="F7" s="13">
        <v>1.03</v>
      </c>
      <c r="G7" s="13">
        <v>1.02</v>
      </c>
      <c r="H7" s="13">
        <v>1</v>
      </c>
      <c r="I7" s="13">
        <v>1</v>
      </c>
      <c r="J7" s="14">
        <v>1</v>
      </c>
      <c r="K7" s="12"/>
      <c r="L7" s="12"/>
      <c r="M7" s="12"/>
      <c r="N7" s="12"/>
      <c r="O7" s="12"/>
      <c r="P7" s="12"/>
      <c r="Q7" s="12"/>
      <c r="R7" s="12"/>
      <c r="S7" s="12"/>
      <c r="T7" s="12"/>
      <c r="U7" s="12"/>
      <c r="V7" s="12"/>
      <c r="W7" s="12"/>
      <c r="X7" s="12"/>
      <c r="Y7" s="12"/>
      <c r="Z7" s="12"/>
      <c r="AA7" s="12"/>
      <c r="AB7" s="12"/>
      <c r="AC7" s="12"/>
      <c r="AD7" s="12"/>
      <c r="AE7" s="12"/>
      <c r="AF7" s="12"/>
      <c r="AG7" s="12"/>
    </row>
    <row r="8" spans="1:33" x14ac:dyDescent="0.35">
      <c r="A8" s="28" t="s">
        <v>42</v>
      </c>
      <c r="B8" s="26">
        <v>0.01</v>
      </c>
      <c r="C8" s="13">
        <v>-0.09</v>
      </c>
      <c r="D8" s="13">
        <v>-0.23</v>
      </c>
      <c r="E8" s="13">
        <v>-0.11</v>
      </c>
      <c r="F8" s="13">
        <v>-0.43</v>
      </c>
      <c r="G8" s="13">
        <v>-0.78</v>
      </c>
      <c r="H8" s="13">
        <v>-0.1</v>
      </c>
      <c r="I8" s="13">
        <v>-0.66</v>
      </c>
      <c r="J8" s="14">
        <v>-0.63</v>
      </c>
      <c r="K8" s="12"/>
      <c r="L8" s="12"/>
      <c r="M8" s="12"/>
      <c r="N8" s="12"/>
      <c r="O8" s="12"/>
      <c r="P8" s="12"/>
      <c r="Q8" s="12"/>
      <c r="R8" s="12"/>
      <c r="S8" s="12"/>
      <c r="T8" s="12"/>
      <c r="U8" s="12"/>
      <c r="V8" s="12"/>
      <c r="W8" s="12"/>
      <c r="X8" s="12"/>
      <c r="Y8" s="12"/>
      <c r="Z8" s="12"/>
      <c r="AA8" s="12"/>
      <c r="AB8" s="12"/>
      <c r="AC8" s="12"/>
      <c r="AD8" s="12"/>
      <c r="AE8" s="12"/>
      <c r="AF8" s="12"/>
      <c r="AG8" s="12"/>
    </row>
    <row r="9" spans="1:33" ht="15" thickBot="1" x14ac:dyDescent="0.4">
      <c r="A9" s="29" t="s">
        <v>40</v>
      </c>
      <c r="B9" s="26">
        <v>0.57999999999999996</v>
      </c>
      <c r="C9" s="13">
        <v>0.45</v>
      </c>
      <c r="D9" s="13">
        <v>0.37</v>
      </c>
      <c r="E9" s="13">
        <v>0.51</v>
      </c>
      <c r="F9" s="13">
        <v>0.78</v>
      </c>
      <c r="G9" s="13">
        <v>0.84</v>
      </c>
      <c r="H9" s="13">
        <v>0.42</v>
      </c>
      <c r="I9" s="13">
        <v>0.78</v>
      </c>
      <c r="J9" s="14">
        <v>0.45</v>
      </c>
      <c r="K9" s="12"/>
      <c r="L9" s="12"/>
      <c r="M9" s="12"/>
      <c r="N9" s="12"/>
      <c r="O9" s="12"/>
      <c r="P9" s="12"/>
      <c r="Q9" s="12"/>
      <c r="R9" s="12"/>
      <c r="S9" s="12"/>
      <c r="T9" s="12"/>
      <c r="U9" s="12"/>
      <c r="V9" s="12"/>
      <c r="W9" s="12"/>
      <c r="X9" s="12"/>
      <c r="Y9" s="12"/>
      <c r="Z9" s="12"/>
      <c r="AA9" s="12"/>
      <c r="AB9" s="12"/>
      <c r="AC9" s="12"/>
      <c r="AD9" s="12"/>
      <c r="AE9" s="12"/>
      <c r="AF9" s="12"/>
      <c r="AG9" s="12"/>
    </row>
    <row r="10" spans="1:33" ht="15" thickBot="1" x14ac:dyDescent="0.4">
      <c r="A10" s="22" t="s">
        <v>22</v>
      </c>
      <c r="B10" s="20">
        <v>3.0999999999999996</v>
      </c>
      <c r="C10" s="15">
        <v>3.2700000000000005</v>
      </c>
      <c r="D10" s="15">
        <v>2.62</v>
      </c>
      <c r="E10" s="15">
        <v>3.4200000000000008</v>
      </c>
      <c r="F10" s="15">
        <v>3.08</v>
      </c>
      <c r="G10" s="15">
        <v>2.56</v>
      </c>
      <c r="H10" s="15">
        <v>3.61</v>
      </c>
      <c r="I10" s="15">
        <v>2.33</v>
      </c>
      <c r="J10" s="16">
        <v>1.4400000000000002</v>
      </c>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33"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33"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row>
    <row r="15" spans="1:33"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spans="1:33"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sheetData>
  <mergeCells count="1">
    <mergeCell ref="C1:G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7A9B7-6169-4449-8E31-5A87FE420A0D}">
  <dimension ref="A1"/>
  <sheetViews>
    <sheetView tabSelected="1" zoomScale="51" zoomScaleNormal="51" workbookViewId="0">
      <selection activeCell="M8" sqref="M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92D80-AE9F-46E0-9065-DBBBF2AB3BEB}">
  <dimension ref="A1:D13"/>
  <sheetViews>
    <sheetView showGridLines="0" zoomScale="65" zoomScaleNormal="72" workbookViewId="0">
      <selection activeCell="M8" sqref="M8"/>
    </sheetView>
  </sheetViews>
  <sheetFormatPr defaultRowHeight="14.5" x14ac:dyDescent="0.35"/>
  <cols>
    <col min="1" max="1" width="13.4140625" bestFit="1" customWidth="1"/>
    <col min="2" max="2" width="24.83203125" bestFit="1" customWidth="1"/>
    <col min="3" max="3" width="32.75" bestFit="1" customWidth="1"/>
    <col min="4" max="4" width="22.9140625" bestFit="1" customWidth="1"/>
    <col min="5" max="5" width="38.1640625" customWidth="1"/>
    <col min="6" max="6" width="28.1640625" customWidth="1"/>
  </cols>
  <sheetData>
    <row r="1" spans="1:4" ht="23" x14ac:dyDescent="0.5">
      <c r="C1" s="30" t="s">
        <v>62</v>
      </c>
    </row>
    <row r="3" spans="1:4" x14ac:dyDescent="0.35">
      <c r="A3" s="8" t="s">
        <v>21</v>
      </c>
      <c r="B3" t="s">
        <v>25</v>
      </c>
      <c r="C3" t="s">
        <v>24</v>
      </c>
      <c r="D3" t="s">
        <v>23</v>
      </c>
    </row>
    <row r="4" spans="1:4" x14ac:dyDescent="0.35">
      <c r="A4" s="9" t="s">
        <v>56</v>
      </c>
      <c r="B4" s="7">
        <v>-6376</v>
      </c>
      <c r="C4" s="7">
        <v>0</v>
      </c>
      <c r="D4" s="7">
        <v>0</v>
      </c>
    </row>
    <row r="5" spans="1:4" x14ac:dyDescent="0.35">
      <c r="A5" s="9" t="s">
        <v>55</v>
      </c>
      <c r="B5" s="7">
        <v>-12563.01</v>
      </c>
      <c r="C5" s="7">
        <v>0</v>
      </c>
      <c r="D5" s="7">
        <v>0</v>
      </c>
    </row>
    <row r="6" spans="1:4" x14ac:dyDescent="0.35">
      <c r="A6" s="9" t="s">
        <v>54</v>
      </c>
      <c r="B6" s="7">
        <v>-706.27</v>
      </c>
      <c r="C6" s="7">
        <v>0</v>
      </c>
      <c r="D6" s="7">
        <v>0</v>
      </c>
    </row>
    <row r="7" spans="1:4" x14ac:dyDescent="0.35">
      <c r="A7" s="9" t="s">
        <v>53</v>
      </c>
      <c r="B7" s="7">
        <v>-48.04</v>
      </c>
      <c r="C7" s="7">
        <v>0.13</v>
      </c>
      <c r="D7" s="7">
        <v>0.18</v>
      </c>
    </row>
    <row r="8" spans="1:4" x14ac:dyDescent="0.35">
      <c r="A8" s="9" t="s">
        <v>57</v>
      </c>
      <c r="B8" s="7">
        <v>-29.42</v>
      </c>
      <c r="C8" s="7">
        <v>0.09</v>
      </c>
      <c r="D8" s="7">
        <v>0.11</v>
      </c>
    </row>
    <row r="9" spans="1:4" x14ac:dyDescent="0.35">
      <c r="A9" s="9" t="s">
        <v>58</v>
      </c>
      <c r="B9" s="7">
        <v>-13.58</v>
      </c>
      <c r="C9" s="7">
        <v>0.06</v>
      </c>
      <c r="D9" s="7">
        <v>7.0000000000000007E-2</v>
      </c>
    </row>
    <row r="10" spans="1:4" x14ac:dyDescent="0.35">
      <c r="A10" s="9" t="s">
        <v>59</v>
      </c>
      <c r="B10" s="7">
        <v>-59.57</v>
      </c>
      <c r="C10" s="7">
        <v>0.03</v>
      </c>
      <c r="D10" s="7">
        <v>0.04</v>
      </c>
    </row>
    <row r="11" spans="1:4" x14ac:dyDescent="0.35">
      <c r="A11" s="9" t="s">
        <v>60</v>
      </c>
      <c r="B11" s="7">
        <v>-21.59</v>
      </c>
      <c r="C11" s="7">
        <v>0.03</v>
      </c>
      <c r="D11" s="7">
        <v>0.04</v>
      </c>
    </row>
    <row r="12" spans="1:4" x14ac:dyDescent="0.35">
      <c r="A12" s="9" t="s">
        <v>61</v>
      </c>
      <c r="B12" s="7">
        <v>3.89</v>
      </c>
      <c r="C12" s="7">
        <v>0.04</v>
      </c>
      <c r="D12" s="7">
        <v>0.04</v>
      </c>
    </row>
    <row r="13" spans="1:4" x14ac:dyDescent="0.35">
      <c r="A13" s="9" t="s">
        <v>22</v>
      </c>
      <c r="B13" s="7">
        <v>-19813.590000000004</v>
      </c>
      <c r="C13" s="7">
        <v>0.38000000000000006</v>
      </c>
      <c r="D13" s="7">
        <v>0.47999999999999993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09556-0814-4634-9BF4-C883335C042C}">
  <dimension ref="A1:I13"/>
  <sheetViews>
    <sheetView showGridLines="0" zoomScale="66" workbookViewId="0">
      <selection activeCell="V19" sqref="V19"/>
    </sheetView>
  </sheetViews>
  <sheetFormatPr defaultRowHeight="14.5" x14ac:dyDescent="0.35"/>
  <cols>
    <col min="1" max="1" width="14.08203125" bestFit="1" customWidth="1"/>
    <col min="2" max="2" width="20" bestFit="1" customWidth="1"/>
  </cols>
  <sheetData>
    <row r="1" spans="1:9" x14ac:dyDescent="0.35">
      <c r="E1" s="31" t="s">
        <v>63</v>
      </c>
      <c r="F1" s="11"/>
      <c r="G1" s="11"/>
      <c r="H1" s="11"/>
      <c r="I1" s="11"/>
    </row>
    <row r="2" spans="1:9" x14ac:dyDescent="0.35">
      <c r="E2" s="11"/>
      <c r="F2" s="11"/>
      <c r="G2" s="11"/>
      <c r="H2" s="11"/>
      <c r="I2" s="11"/>
    </row>
    <row r="3" spans="1:9" x14ac:dyDescent="0.35">
      <c r="A3" s="8" t="s">
        <v>21</v>
      </c>
      <c r="B3" t="s">
        <v>26</v>
      </c>
    </row>
    <row r="4" spans="1:9" x14ac:dyDescent="0.35">
      <c r="A4" s="9" t="s">
        <v>56</v>
      </c>
      <c r="B4" s="7">
        <v>3.75</v>
      </c>
    </row>
    <row r="5" spans="1:9" x14ac:dyDescent="0.35">
      <c r="A5" s="9" t="s">
        <v>55</v>
      </c>
      <c r="B5" s="7">
        <v>2.97</v>
      </c>
    </row>
    <row r="6" spans="1:9" x14ac:dyDescent="0.35">
      <c r="A6" s="9" t="s">
        <v>54</v>
      </c>
      <c r="B6" s="7">
        <v>1.99</v>
      </c>
    </row>
    <row r="7" spans="1:9" x14ac:dyDescent="0.35">
      <c r="A7" s="9" t="s">
        <v>53</v>
      </c>
      <c r="B7" s="7">
        <v>2.21</v>
      </c>
    </row>
    <row r="8" spans="1:9" x14ac:dyDescent="0.35">
      <c r="A8" s="9" t="s">
        <v>57</v>
      </c>
      <c r="B8" s="7">
        <v>4.42</v>
      </c>
    </row>
    <row r="9" spans="1:9" x14ac:dyDescent="0.35">
      <c r="A9" s="9" t="s">
        <v>58</v>
      </c>
      <c r="B9" s="7">
        <v>7.44</v>
      </c>
    </row>
    <row r="10" spans="1:9" x14ac:dyDescent="0.35">
      <c r="A10" s="9" t="s">
        <v>59</v>
      </c>
      <c r="B10" s="7">
        <v>11.8</v>
      </c>
    </row>
    <row r="11" spans="1:9" x14ac:dyDescent="0.35">
      <c r="A11" s="9" t="s">
        <v>60</v>
      </c>
      <c r="B11" s="7">
        <v>9.1199999999999992</v>
      </c>
    </row>
    <row r="12" spans="1:9" x14ac:dyDescent="0.35">
      <c r="A12" s="9" t="s">
        <v>61</v>
      </c>
      <c r="B12" s="7">
        <v>6.37</v>
      </c>
    </row>
    <row r="13" spans="1:9" x14ac:dyDescent="0.35">
      <c r="A13" s="9" t="s">
        <v>22</v>
      </c>
      <c r="B13" s="7">
        <v>50.069999999999993</v>
      </c>
    </row>
  </sheetData>
  <mergeCells count="1">
    <mergeCell ref="E1:I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163FA-FC6E-4F6A-BC1F-4AD5C124FD04}">
  <dimension ref="A1:D13"/>
  <sheetViews>
    <sheetView showGridLines="0" zoomScale="58" zoomScaleNormal="58" workbookViewId="0">
      <selection activeCell="G24" sqref="G24"/>
    </sheetView>
  </sheetViews>
  <sheetFormatPr defaultRowHeight="14.5" x14ac:dyDescent="0.35"/>
  <cols>
    <col min="1" max="1" width="14.33203125" bestFit="1" customWidth="1"/>
    <col min="2" max="2" width="28.6640625" bestFit="1" customWidth="1"/>
    <col min="3" max="3" width="30.58203125" bestFit="1" customWidth="1"/>
    <col min="4" max="4" width="33" bestFit="1" customWidth="1"/>
    <col min="5" max="5" width="30.58203125" customWidth="1"/>
  </cols>
  <sheetData>
    <row r="1" spans="1:4" x14ac:dyDescent="0.35">
      <c r="C1" s="31" t="s">
        <v>64</v>
      </c>
      <c r="D1" s="11"/>
    </row>
    <row r="2" spans="1:4" x14ac:dyDescent="0.35">
      <c r="C2" s="11"/>
      <c r="D2" s="11"/>
    </row>
    <row r="3" spans="1:4" x14ac:dyDescent="0.35">
      <c r="A3" s="8" t="s">
        <v>21</v>
      </c>
      <c r="B3" t="s">
        <v>29</v>
      </c>
      <c r="C3" t="s">
        <v>28</v>
      </c>
      <c r="D3" t="s">
        <v>27</v>
      </c>
    </row>
    <row r="4" spans="1:4" x14ac:dyDescent="0.35">
      <c r="A4" s="9" t="s">
        <v>56</v>
      </c>
      <c r="B4" s="7">
        <v>3.04</v>
      </c>
      <c r="C4" s="7">
        <v>0</v>
      </c>
      <c r="D4" s="7">
        <v>7.52</v>
      </c>
    </row>
    <row r="5" spans="1:4" x14ac:dyDescent="0.35">
      <c r="A5" s="9" t="s">
        <v>55</v>
      </c>
      <c r="B5" s="7">
        <v>2.82</v>
      </c>
      <c r="C5" s="7">
        <v>0</v>
      </c>
      <c r="D5" s="7">
        <v>6.83</v>
      </c>
    </row>
    <row r="6" spans="1:4" x14ac:dyDescent="0.35">
      <c r="A6" s="9" t="s">
        <v>54</v>
      </c>
      <c r="B6" s="7">
        <v>3.48</v>
      </c>
      <c r="C6" s="7">
        <v>0</v>
      </c>
      <c r="D6" s="7">
        <v>15.58</v>
      </c>
    </row>
    <row r="7" spans="1:4" x14ac:dyDescent="0.35">
      <c r="A7" s="9" t="s">
        <v>53</v>
      </c>
      <c r="B7" s="7">
        <v>3.75</v>
      </c>
      <c r="C7" s="7">
        <v>0</v>
      </c>
      <c r="D7" s="7">
        <v>3.16</v>
      </c>
    </row>
    <row r="8" spans="1:4" x14ac:dyDescent="0.35">
      <c r="A8" s="9" t="s">
        <v>57</v>
      </c>
      <c r="B8" s="7">
        <v>4.9800000000000004</v>
      </c>
      <c r="C8" s="7">
        <v>0</v>
      </c>
      <c r="D8" s="7">
        <v>4.26</v>
      </c>
    </row>
    <row r="9" spans="1:4" x14ac:dyDescent="0.35">
      <c r="A9" s="9" t="s">
        <v>58</v>
      </c>
      <c r="B9" s="7">
        <v>5.04</v>
      </c>
      <c r="C9" s="7">
        <v>0</v>
      </c>
      <c r="D9" s="7">
        <v>4.24</v>
      </c>
    </row>
    <row r="10" spans="1:4" x14ac:dyDescent="0.35">
      <c r="A10" s="9" t="s">
        <v>59</v>
      </c>
      <c r="B10" s="7">
        <v>5.34</v>
      </c>
      <c r="C10" s="7">
        <v>0</v>
      </c>
      <c r="D10" s="7">
        <v>5.35</v>
      </c>
    </row>
    <row r="11" spans="1:4" x14ac:dyDescent="0.35">
      <c r="A11" s="9" t="s">
        <v>60</v>
      </c>
      <c r="B11" s="7">
        <v>4.93</v>
      </c>
      <c r="C11" s="7">
        <v>0</v>
      </c>
      <c r="D11" s="7">
        <v>6.44</v>
      </c>
    </row>
    <row r="12" spans="1:4" x14ac:dyDescent="0.35">
      <c r="A12" s="9" t="s">
        <v>61</v>
      </c>
      <c r="B12" s="7">
        <v>5.18</v>
      </c>
      <c r="C12" s="7">
        <v>0</v>
      </c>
      <c r="D12" s="7">
        <v>6.49</v>
      </c>
    </row>
    <row r="13" spans="1:4" x14ac:dyDescent="0.35">
      <c r="A13" s="9" t="s">
        <v>22</v>
      </c>
      <c r="B13" s="7">
        <v>38.559999999999995</v>
      </c>
      <c r="C13" s="7">
        <v>0</v>
      </c>
      <c r="D13" s="7">
        <v>59.870000000000005</v>
      </c>
    </row>
  </sheetData>
  <mergeCells count="1">
    <mergeCell ref="C1:D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2A341-2582-4475-BC55-FD9FED3C0E03}">
  <dimension ref="A1:G13"/>
  <sheetViews>
    <sheetView showGridLines="0" zoomScale="83" zoomScaleNormal="83" workbookViewId="0">
      <selection activeCell="H26" sqref="H26"/>
    </sheetView>
  </sheetViews>
  <sheetFormatPr defaultRowHeight="14.5" x14ac:dyDescent="0.35"/>
  <cols>
    <col min="1" max="1" width="12.75" bestFit="1" customWidth="1"/>
    <col min="2" max="2" width="30.58203125" bestFit="1" customWidth="1"/>
    <col min="3" max="3" width="15.75" bestFit="1" customWidth="1"/>
    <col min="4" max="4" width="15.08203125" bestFit="1" customWidth="1"/>
    <col min="5" max="5" width="16.33203125" bestFit="1" customWidth="1"/>
    <col min="6" max="6" width="15.6640625" bestFit="1" customWidth="1"/>
    <col min="7" max="7" width="16.83203125" bestFit="1" customWidth="1"/>
  </cols>
  <sheetData>
    <row r="1" spans="1:7" x14ac:dyDescent="0.35">
      <c r="C1" s="31" t="s">
        <v>65</v>
      </c>
      <c r="D1" s="11"/>
      <c r="E1" s="11"/>
    </row>
    <row r="2" spans="1:7" x14ac:dyDescent="0.35">
      <c r="C2" s="11"/>
      <c r="D2" s="11"/>
      <c r="E2" s="11"/>
    </row>
    <row r="3" spans="1:7" x14ac:dyDescent="0.35">
      <c r="A3" s="8" t="s">
        <v>21</v>
      </c>
      <c r="B3" t="s">
        <v>30</v>
      </c>
      <c r="C3" t="s">
        <v>35</v>
      </c>
      <c r="D3" t="s">
        <v>34</v>
      </c>
      <c r="E3" t="s">
        <v>33</v>
      </c>
      <c r="F3" t="s">
        <v>32</v>
      </c>
      <c r="G3" t="s">
        <v>31</v>
      </c>
    </row>
    <row r="4" spans="1:7" x14ac:dyDescent="0.35">
      <c r="A4" s="9" t="s">
        <v>56</v>
      </c>
      <c r="B4" s="7">
        <v>0.78</v>
      </c>
      <c r="C4" s="7">
        <v>0</v>
      </c>
      <c r="D4" s="7">
        <v>0</v>
      </c>
      <c r="E4" s="7">
        <v>-79.67</v>
      </c>
      <c r="F4" s="7">
        <v>-82.2</v>
      </c>
      <c r="G4" s="7">
        <v>-79.66</v>
      </c>
    </row>
    <row r="5" spans="1:7" x14ac:dyDescent="0.35">
      <c r="A5" s="9" t="s">
        <v>55</v>
      </c>
      <c r="B5" s="7">
        <v>0.45</v>
      </c>
      <c r="C5" s="7">
        <v>0</v>
      </c>
      <c r="D5" s="7">
        <v>0</v>
      </c>
      <c r="E5" s="7">
        <v>-135.81</v>
      </c>
      <c r="F5" s="7">
        <v>-139.53</v>
      </c>
      <c r="G5" s="7">
        <v>-135.80000000000001</v>
      </c>
    </row>
    <row r="6" spans="1:7" x14ac:dyDescent="0.35">
      <c r="A6" s="9" t="s">
        <v>54</v>
      </c>
      <c r="B6" s="7">
        <v>0.42</v>
      </c>
      <c r="C6" s="7">
        <v>0</v>
      </c>
      <c r="D6" s="7">
        <v>0</v>
      </c>
      <c r="E6" s="7">
        <v>-14.73</v>
      </c>
      <c r="F6" s="7">
        <v>-16.920000000000002</v>
      </c>
      <c r="G6" s="7">
        <v>-14.7</v>
      </c>
    </row>
    <row r="7" spans="1:7" x14ac:dyDescent="0.35">
      <c r="A7" s="9" t="s">
        <v>53</v>
      </c>
      <c r="B7" s="7">
        <v>0.84</v>
      </c>
      <c r="C7" s="7">
        <v>0</v>
      </c>
      <c r="D7" s="7">
        <v>0</v>
      </c>
      <c r="E7" s="7">
        <v>-69.34</v>
      </c>
      <c r="F7" s="7">
        <v>-73.98</v>
      </c>
      <c r="G7" s="7">
        <v>-67.8</v>
      </c>
    </row>
    <row r="8" spans="1:7" x14ac:dyDescent="0.35">
      <c r="A8" s="9" t="s">
        <v>57</v>
      </c>
      <c r="B8" s="7">
        <v>0.78</v>
      </c>
      <c r="C8" s="7">
        <v>0</v>
      </c>
      <c r="D8" s="7">
        <v>0</v>
      </c>
      <c r="E8" s="7">
        <v>-41.4</v>
      </c>
      <c r="F8" s="7">
        <v>-45.97</v>
      </c>
      <c r="G8" s="7">
        <v>-39.840000000000003</v>
      </c>
    </row>
    <row r="9" spans="1:7" x14ac:dyDescent="0.35">
      <c r="A9" s="9" t="s">
        <v>58</v>
      </c>
      <c r="B9" s="7">
        <v>0.51</v>
      </c>
      <c r="C9" s="7">
        <v>0</v>
      </c>
      <c r="D9" s="7">
        <v>0</v>
      </c>
      <c r="E9" s="7">
        <v>-14.51</v>
      </c>
      <c r="F9" s="7">
        <v>-17.87</v>
      </c>
      <c r="G9" s="7">
        <v>-13.2</v>
      </c>
    </row>
    <row r="10" spans="1:7" x14ac:dyDescent="0.35">
      <c r="A10" s="9" t="s">
        <v>59</v>
      </c>
      <c r="B10" s="7">
        <v>0.37</v>
      </c>
      <c r="C10" s="7">
        <v>0</v>
      </c>
      <c r="D10" s="7">
        <v>0</v>
      </c>
      <c r="E10" s="7">
        <v>-55.48</v>
      </c>
      <c r="F10" s="7">
        <v>-57.52</v>
      </c>
      <c r="G10" s="7">
        <v>-54.52</v>
      </c>
    </row>
    <row r="11" spans="1:7" x14ac:dyDescent="0.35">
      <c r="A11" s="9" t="s">
        <v>60</v>
      </c>
      <c r="B11" s="7">
        <v>0.45</v>
      </c>
      <c r="C11" s="7">
        <v>0</v>
      </c>
      <c r="D11" s="7">
        <v>0</v>
      </c>
      <c r="E11" s="7">
        <v>-16.579999999999998</v>
      </c>
      <c r="F11" s="7">
        <v>-18.23</v>
      </c>
      <c r="G11" s="7">
        <v>-15.74</v>
      </c>
    </row>
    <row r="12" spans="1:7" x14ac:dyDescent="0.35">
      <c r="A12" s="9" t="s">
        <v>61</v>
      </c>
      <c r="B12" s="7">
        <v>0.57999999999999996</v>
      </c>
      <c r="C12" s="7">
        <v>0.94</v>
      </c>
      <c r="D12" s="7">
        <v>1.46</v>
      </c>
      <c r="E12" s="7">
        <v>4.82</v>
      </c>
      <c r="F12" s="7">
        <v>3.02</v>
      </c>
      <c r="G12" s="7">
        <v>5.6</v>
      </c>
    </row>
    <row r="13" spans="1:7" x14ac:dyDescent="0.35">
      <c r="A13" s="9" t="s">
        <v>22</v>
      </c>
      <c r="B13" s="7">
        <v>5.18</v>
      </c>
      <c r="C13" s="7">
        <v>0.94</v>
      </c>
      <c r="D13" s="7">
        <v>1.46</v>
      </c>
      <c r="E13" s="7">
        <v>-422.7</v>
      </c>
      <c r="F13" s="7">
        <v>-449.20000000000005</v>
      </c>
      <c r="G13" s="7">
        <v>-415.65999999999991</v>
      </c>
    </row>
  </sheetData>
  <mergeCells count="1">
    <mergeCell ref="C1:E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RATIO REPORT</vt:lpstr>
      <vt:lpstr>dupont model</vt:lpstr>
      <vt:lpstr>Dupont dashboard_</vt:lpstr>
      <vt:lpstr>key ratio</vt:lpstr>
      <vt:lpstr>solvency</vt:lpstr>
      <vt:lpstr>liquidity</vt:lpstr>
      <vt:lpstr>effiency</vt:lpstr>
      <vt:lpstr>Profitablility ratio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SINGH</dc:creator>
  <cp:lastModifiedBy>PRATEEK SINGH</cp:lastModifiedBy>
  <dcterms:created xsi:type="dcterms:W3CDTF">2025-09-08T10:39:03Z</dcterms:created>
  <dcterms:modified xsi:type="dcterms:W3CDTF">2025-09-10T17:51:08Z</dcterms:modified>
</cp:coreProperties>
</file>